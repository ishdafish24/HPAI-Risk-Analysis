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State Matrix" sheetId="2" state="visible" r:id="rId4"/>
    <sheet name="Industry M&amp;A 2023-2026" sheetId="3" state="visible" r:id="rId5"/>
    <sheet name="Cal-Maine facilities" sheetId="4" state="visible" r:id="rId6"/>
    <sheet name="CALM FY25 financials" sheetId="5" state="visible" r:id="rId7"/>
    <sheet name="Industry contex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Verified these manually without llm</t>
        </r>
      </text>
    </comment>
  </commentList>
</comments>
</file>

<file path=xl/sharedStrings.xml><?xml version="1.0" encoding="utf-8"?>
<sst xmlns="http://schemas.openxmlformats.org/spreadsheetml/2006/main" count="494" uniqueCount="398">
  <si>
    <t xml:space="preserve">Geographic Diversity of Largest N.A. Egg Producers</t>
  </si>
  <si>
    <t xml:space="preserve">#</t>
  </si>
  <si>
    <t xml:space="preserve">Company</t>
  </si>
  <si>
    <t xml:space="preserve">Layers (M)</t>
  </si>
  <si>
    <t xml:space="preserve">States</t>
  </si>
  <si>
    <t xml:space="preserve">Egg Laying States</t>
  </si>
  <si>
    <t xml:space="preserve">Cal-Maine Foods</t>
  </si>
  <si>
    <t xml:space="preserve">AL, AR, FL, GA, KS, KY, LA, MD, MS, NJ, OH, OK, SC, TX, UT</t>
  </si>
  <si>
    <t xml:space="preserve">Versova Management Cooperative</t>
  </si>
  <si>
    <t xml:space="preserve">IA, OH, WA, OR</t>
  </si>
  <si>
    <t xml:space="preserve">Rose Acre Farms</t>
  </si>
  <si>
    <t xml:space="preserve">IN, IL, MO, NC, GA, IA, AZ</t>
  </si>
  <si>
    <t xml:space="preserve">Daybreak Foods</t>
  </si>
  <si>
    <t xml:space="preserve">IA, WI, OH</t>
  </si>
  <si>
    <t xml:space="preserve">Global Eggs (US Division) / Hillandale</t>
  </si>
  <si>
    <t xml:space="preserve">PA, OH, CT, IA, ME</t>
  </si>
  <si>
    <t xml:space="preserve">Mid-States Specialty Eggs</t>
  </si>
  <si>
    <t xml:space="preserve">MO, AK</t>
  </si>
  <si>
    <t xml:space="preserve">MPS Egg Farms</t>
  </si>
  <si>
    <t xml:space="preserve">IA, IL</t>
  </si>
  <si>
    <t xml:space="preserve">Michael Foods (Post Holdings)</t>
  </si>
  <si>
    <t xml:space="preserve">Vital Farms</t>
  </si>
  <si>
    <t xml:space="preserve">KS, MO, KY, AR, IN, IL, OH, OK, TN, WV</t>
  </si>
  <si>
    <t xml:space="preserve">Total</t>
  </si>
  <si>
    <t xml:space="preserve">Sheets 2 onwards generated by Claude so pls verify </t>
  </si>
  <si>
    <t xml:space="preserve">State footprint matrix — top 9 US egg producers</t>
  </si>
  <si>
    <t xml:space="preserve">1 = facility presence (own + key JVs), 0 = no known presence. Sourced from Sheet 1; verify before distributing.</t>
  </si>
  <si>
    <t xml:space="preserve">State</t>
  </si>
  <si>
    <t xml:space="preserve">Cal-Maine</t>
  </si>
  <si>
    <t xml:space="preserve">Versova Coop</t>
  </si>
  <si>
    <t xml:space="preserve">Rose Acre</t>
  </si>
  <si>
    <t xml:space="preserve">Daybreak</t>
  </si>
  <si>
    <t xml:space="preserve">Global Eggs</t>
  </si>
  <si>
    <t xml:space="preserve">Mid-States</t>
  </si>
  <si>
    <t xml:space="preserve">MPS</t>
  </si>
  <si>
    <t xml:space="preserve">Michael Foods</t>
  </si>
  <si>
    <t xml:space="preserve"># Top-9 in state</t>
  </si>
  <si>
    <t xml:space="preserve">Cal-Maine?</t>
  </si>
  <si>
    <t xml:space="preserve">Competitors only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</si>
  <si>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</si>
  <si>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</si>
  <si>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</si>
  <si>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</si>
  <si>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</si>
  <si>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</si>
  <si>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</si>
  <si>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</si>
  <si>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</si>
  <si>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</si>
  <si>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</si>
  <si>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</si>
  <si>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</si>
  <si>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</si>
  <si>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</si>
  <si>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</si>
  <si>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</si>
  <si>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</si>
  <si>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</si>
  <si>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</si>
  <si>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</si>
  <si>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</si>
  <si>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</si>
  <si>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</si>
  <si>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</si>
  <si>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</si>
  <si>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</si>
  <si>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</si>
  <si>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</si>
  <si>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</si>
  <si>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</si>
  <si>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</si>
  <si>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</si>
  <si>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</si>
  <si>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</si>
  <si>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</si>
  <si>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</si>
  <si>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</si>
  <si>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</si>
  <si>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</si>
  <si>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</si>
  <si>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</si>
  <si>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</si>
  <si>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</si>
  <si>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</si>
  <si>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</si>
  <si>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</si>
  <si>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</si>
  <si>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</si>
  <si>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</si>
  <si>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Total states</t>
  </si>
  <si>
    <t xml:space="preserve">US egg industry M&amp;A and major events — 2023 through March 2026</t>
  </si>
  <si>
    <t xml:space="preserve">Tracks major acquisitions, joint ventures, ownership changes, and HPAI events affecting top US producers.</t>
  </si>
  <si>
    <t xml:space="preserve">Date</t>
  </si>
  <si>
    <t xml:space="preserve">Acquirer / Affected</t>
  </si>
  <si>
    <t xml:space="preserve">Counterparty / Event</t>
  </si>
  <si>
    <t xml:space="preserve">Type</t>
  </si>
  <si>
    <t xml:space="preserve">Value</t>
  </si>
  <si>
    <t xml:space="preserve">Capacity / Location</t>
  </si>
  <si>
    <t xml:space="preserve">Strategic significance</t>
  </si>
  <si>
    <t xml:space="preserve">Sep 2023</t>
  </si>
  <si>
    <t xml:space="preserve">Fassio Egg Farms (UT)</t>
  </si>
  <si>
    <t xml:space="preserve">Acquisition</t>
  </si>
  <si>
    <t xml:space="preserve">$53.7M + $1M contingent</t>
  </si>
  <si>
    <t xml:space="preserve">~1.2M layers (cage-free), Erda UT</t>
  </si>
  <si>
    <t xml:space="preserve">First Western US presence</t>
  </si>
  <si>
    <t xml:space="preserve">Mar 2024</t>
  </si>
  <si>
    <t xml:space="preserve">Tyson Foods (Dexter, MO plant)</t>
  </si>
  <si>
    <t xml:space="preserve">Undisclosed</t>
  </si>
  <si>
    <t xml:space="preserve">Hatchery, feed mill, broiler plant</t>
  </si>
  <si>
    <t xml:space="preserve">Repurposed for shell egg</t>
  </si>
  <si>
    <t xml:space="preserve">Apr 2024</t>
  </si>
  <si>
    <t xml:space="preserve">Herbruck’s</t>
  </si>
  <si>
    <t xml:space="preserve">HPAI outbreak (Saranac, MI)</t>
  </si>
  <si>
    <t xml:space="preserve">HPAI event</t>
  </si>
  <si>
    <t xml:space="preserve">N/A</t>
  </si>
  <si>
    <t xml:space="preserve">~6.5M birds depopulated, 400 layoffs</t>
  </si>
  <si>
    <t xml:space="preserve">First commercial HPAI in MI; rebuilt Jun 2025</t>
  </si>
  <si>
    <t xml:space="preserve">Jun 2024</t>
  </si>
  <si>
    <t xml:space="preserve">ISE America Inc. assets</t>
  </si>
  <si>
    <t xml:space="preserve">$111.5M cash</t>
  </si>
  <si>
    <t xml:space="preserve">4.7M layers + 1.2M pullets, MD/NJ/DE/SC, 4,000 acres</t>
  </si>
  <si>
    <t xml:space="preserve">Northeast/Mid-Atlantic entry</t>
  </si>
  <si>
    <t xml:space="preserve">Sep 2024</t>
  </si>
  <si>
    <t xml:space="preserve">Crepini LLC</t>
  </si>
  <si>
    <t xml:space="preserve">JV / 51% stake</t>
  </si>
  <si>
    <t xml:space="preserve">$6.75M cash for 51%</t>
  </si>
  <si>
    <t xml:space="preserve">Egg wraps/pancakes, Hopewell Junction NY</t>
  </si>
  <si>
    <t xml:space="preserve">Value-added expansion</t>
  </si>
  <si>
    <t xml:space="preserve">Nov 2024</t>
  </si>
  <si>
    <t xml:space="preserve">MeadowCreek Foods</t>
  </si>
  <si>
    <t xml:space="preserve">Buyout 9.23%</t>
  </si>
  <si>
    <t xml:space="preserve">Wholly-owned hard-cooked eggs</t>
  </si>
  <si>
    <t xml:space="preserve">Full ownership of MeadowCreek</t>
  </si>
  <si>
    <t xml:space="preserve">Dec 2024</t>
  </si>
  <si>
    <t xml:space="preserve">Michael Foods (Post)</t>
  </si>
  <si>
    <t xml:space="preserve">HPAI — Iowa (4.5M)</t>
  </si>
  <si>
    <t xml:space="preserve">4.5M layers / 12% of supply</t>
  </si>
  <si>
    <t xml:space="preserve">Third major hit in 12 months</t>
  </si>
  <si>
    <t xml:space="preserve">Jan 2025</t>
  </si>
  <si>
    <t xml:space="preserve">S&amp;R Egg Farm</t>
  </si>
  <si>
    <t xml:space="preserve">$14M</t>
  </si>
  <si>
    <t xml:space="preserve">~1M hens, Whitewater/Palmyra WI</t>
  </si>
  <si>
    <t xml:space="preserve">Total flock to ~24M; flagship Cold Spring</t>
  </si>
  <si>
    <t xml:space="preserve">Feb 2025</t>
  </si>
  <si>
    <t xml:space="preserve">Deal-Rite Feeds</t>
  </si>
  <si>
    <t xml:space="preserve">$4.7M</t>
  </si>
  <si>
    <t xml:space="preserve">2 feed mills, NC</t>
  </si>
  <si>
    <t xml:space="preserve">NC vertical integration</t>
  </si>
  <si>
    <t xml:space="preserve">Mar 2025</t>
  </si>
  <si>
    <t xml:space="preserve">Global Eggs (LU)</t>
  </si>
  <si>
    <t xml:space="preserve">Hillandale Farms (US)</t>
  </si>
  <si>
    <t xml:space="preserve">$1.1B + $300M BTG investment</t>
  </si>
  <si>
    <t xml:space="preserve">18.34M layers, PA/OH/CT/IA</t>
  </si>
  <si>
    <t xml:space="preserve">Foreign capital enters US shell egg</t>
  </si>
  <si>
    <t xml:space="preserve">Echo Lake Foods (announced)</t>
  </si>
  <si>
    <t xml:space="preserve">Acquisition agreement</t>
  </si>
  <si>
    <t xml:space="preserve">$258M</t>
  </si>
  <si>
    <t xml:space="preserve">Burlington WI (signed)</t>
  </si>
  <si>
    <t xml:space="preserve">Prepared foods diversification</t>
  </si>
  <si>
    <t xml:space="preserve">DOJ Civil Investigative Demand</t>
  </si>
  <si>
    <t xml:space="preserve">Regulatory</t>
  </si>
  <si>
    <t xml:space="preserve">Antitrust egg pricing inquiry</t>
  </si>
  <si>
    <t xml:space="preserve">Industry-wide investigation</t>
  </si>
  <si>
    <t xml:space="preserve">Apr 2025</t>
  </si>
  <si>
    <t xml:space="preserve">Class A conversion (Adams family)</t>
  </si>
  <si>
    <t xml:space="preserve">Equity event</t>
  </si>
  <si>
    <t xml:space="preserve">Non-cash + $50M buyback</t>
  </si>
  <si>
    <t xml:space="preserve">551,876 shares repurchased</t>
  </si>
  <si>
    <t xml:space="preserve">Ceased to be controlled company</t>
  </si>
  <si>
    <t xml:space="preserve">May 2025</t>
  </si>
  <si>
    <t xml:space="preserve">Hickman’s Egg Ranch</t>
  </si>
  <si>
    <t xml:space="preserve">HPAI outbreak (AZ)</t>
  </si>
  <si>
    <t xml:space="preserve">~6M birds (95% of flock) lost</t>
  </si>
  <si>
    <t xml:space="preserve">Forced sale by year-end</t>
  </si>
  <si>
    <t xml:space="preserve">Hillandale acquisition closed</t>
  </si>
  <si>
    <t xml:space="preserve">Closing</t>
  </si>
  <si>
    <t xml:space="preserve">$1.1B</t>
  </si>
  <si>
    <t xml:space="preserve">Effective May 12, 2025</t>
  </si>
  <si>
    <t xml:space="preserve">Hillandale becomes Global Eggs US Division</t>
  </si>
  <si>
    <t xml:space="preserve">Jun 2025</t>
  </si>
  <si>
    <t xml:space="preserve">Echo Lake Foods (closed)</t>
  </si>
  <si>
    <t xml:space="preserve">4 facilities: WI/IN/KY, $240M revenue</t>
  </si>
  <si>
    <t xml:space="preserve">Adds WI, IN to footprint</t>
  </si>
  <si>
    <t xml:space="preserve">Sep 2025</t>
  </si>
  <si>
    <t xml:space="preserve">HPAI — Cold Spring WI</t>
  </si>
  <si>
    <t xml:space="preserve">~3.1M layers + 493K pullets</t>
  </si>
  <si>
    <t xml:space="preserve">Same site as 2022 HPAI event</t>
  </si>
  <si>
    <t xml:space="preserve">Nov 2025</t>
  </si>
  <si>
    <t xml:space="preserve">Mantiqueira USA</t>
  </si>
  <si>
    <t xml:space="preserve">AZ farms (post-HPAI rebuild)</t>
  </si>
  <si>
    <t xml:space="preserve">JBS + Pinto Family JV; CO HQ</t>
  </si>
  <si>
    <t xml:space="preserve">Mar 2026</t>
  </si>
  <si>
    <t xml:space="preserve">Creighton Brothers + Crystal Lake</t>
  </si>
  <si>
    <t xml:space="preserve">$128.5M</t>
  </si>
  <si>
    <t xml:space="preserve">3.2M layers + 865K pullets, Warsaw IN</t>
  </si>
  <si>
    <t xml:space="preserve">First IN shell egg ops; +1,007 acres</t>
  </si>
  <si>
    <t xml:space="preserve">Versova</t>
  </si>
  <si>
    <t xml:space="preserve">Hawkeye Pride Egg Farm (Corwith IA)</t>
  </si>
  <si>
    <t xml:space="preserve">Fire</t>
  </si>
  <si>
    <t xml:space="preserve">Multiple layer houses lost</t>
  </si>
  <si>
    <t xml:space="preserve">Bird/house count not yet disclosed</t>
  </si>
  <si>
    <t xml:space="preserve">Cal-Maine Foods — facility breakdown (FY2025 10-K)</t>
  </si>
  <si>
    <t xml:space="preserve">As of May 31, 2025. Source: Cal-Maine Foods 10-K filing (filed July 22, 2025), SEC EDGAR.</t>
  </si>
  <si>
    <t xml:space="preserve">Facility type</t>
  </si>
  <si>
    <t xml:space="preserve">Count</t>
  </si>
  <si>
    <t xml:space="preserve">Capacity</t>
  </si>
  <si>
    <t xml:space="preserve">Notes</t>
  </si>
  <si>
    <t xml:space="preserve">Shell egg production</t>
  </si>
  <si>
    <t xml:space="preserve">Up to 51.8M layers</t>
  </si>
  <si>
    <t xml:space="preserve">Core egg-laying houses; +7 from FY23 (ISE acquisition)</t>
  </si>
  <si>
    <t xml:space="preserve">Pullet facilities</t>
  </si>
  <si>
    <t xml:space="preserve">Up to 14.3M pullets housed</t>
  </si>
  <si>
    <t xml:space="preserve">AR, DE, FL, GA, KS, KY, MD, MS, NJ, OH, SC, TX, UT</t>
  </si>
  <si>
    <t xml:space="preserve">Raise replacement layers; +8 from FY23</t>
  </si>
  <si>
    <t xml:space="preserve">Processing &amp; packaging</t>
  </si>
  <si>
    <t xml:space="preserve">~674,700 dozen shell eggs/hr</t>
  </si>
  <si>
    <t xml:space="preserve">AL, AR, FL, GA, KS, KY, LA, MD, MO, MS, NJ, OH, OK, SC, TX, UT</t>
  </si>
  <si>
    <t xml:space="preserve">Adjacent to production; +7 from FY23</t>
  </si>
  <si>
    <t xml:space="preserve">Feed mills</t>
  </si>
  <si>
    <t xml:space="preserve">1,000 tons feed/hour</t>
  </si>
  <si>
    <t xml:space="preserve">AL, AR, FL, GA, KS, KY, MO, MS, NC, NJ, OH, OK, SC, TN, TX, UT</t>
  </si>
  <si>
    <t xml:space="preserve">Vertical integration; +5 from FY23 (incl. Deal-Rite NC)</t>
  </si>
  <si>
    <t xml:space="preserve">Hatcheries</t>
  </si>
  <si>
    <t xml:space="preserve">Up to 712,600 chicks/week</t>
  </si>
  <si>
    <t xml:space="preserve">MO, MS</t>
  </si>
  <si>
    <t xml:space="preserve">Capacity ~75% higher than FY23</t>
  </si>
  <si>
    <t xml:space="preserve">Breeding facilities</t>
  </si>
  <si>
    <t xml:space="preserve">Up to 215,000 hens</t>
  </si>
  <si>
    <t xml:space="preserve">MS</t>
  </si>
  <si>
    <t xml:space="preserve">Consolidated to MS only (was GA, MS)</t>
  </si>
  <si>
    <t xml:space="preserve">Egg products &amp; prepared foods processing</t>
  </si>
  <si>
    <t xml:space="preserve">72,700 lbs/hour</t>
  </si>
  <si>
    <t xml:space="preserve">GA, MO, NY, SC, TX</t>
  </si>
  <si>
    <t xml:space="preserve">Crepini in NY; +2 from FY23</t>
  </si>
  <si>
    <t xml:space="preserve">Total operational facilities</t>
  </si>
  <si>
    <t xml:space="preserve">vs. 153 in FY2023 (excl. distribution centers)</t>
  </si>
  <si>
    <t xml:space="preserve">Land owned (thousand acres)</t>
  </si>
  <si>
    <t xml:space="preserve">vs. 28.0K acres at FY2023 (+18.6%)</t>
  </si>
  <si>
    <t xml:space="preserve">Layers (millions)</t>
  </si>
  <si>
    <t xml:space="preserve">Pullets and breeders (millions)</t>
  </si>
  <si>
    <t xml:space="preserve">Total flock (millions)</t>
  </si>
  <si>
    <t xml:space="preserve">States operated</t>
  </si>
  <si>
    <t xml:space="preserve">AL, AR, DE, FL, GA, KS, KY, LA, MD, MO, MS, NC, NJ, NY, OH, OK, SC, TN, TX, UT</t>
  </si>
  <si>
    <t xml:space="preserve">FY25 10-K Events</t>
  </si>
  <si>
    <t xml:space="preserve">Action</t>
  </si>
  <si>
    <t xml:space="preserve">Asset/Counterparty</t>
  </si>
  <si>
    <t xml:space="preserve">Consideration</t>
  </si>
  <si>
    <t xml:space="preserve">Oct 2023</t>
  </si>
  <si>
    <t xml:space="preserve">Fassio Egg Farms assets</t>
  </si>
  <si>
    <t xml:space="preserve">$53.7M cash + $1M contingent</t>
  </si>
  <si>
    <t xml:space="preserve">~1.2M layers (mostly cage-free), Erda, UT</t>
  </si>
  <si>
    <t xml:space="preserve">Q4 FY24</t>
  </si>
  <si>
    <t xml:space="preserve">Tyson broiler plant + hatchery + feed mill</t>
  </si>
  <si>
    <t xml:space="preserve">Repurposed for shell egg, Dexter, MO</t>
  </si>
  <si>
    <t xml:space="preserve">ISE America assets</t>
  </si>
  <si>
    <t xml:space="preserve">4.7M layers (1.0M cage-free), 1.2M pullets, ~4,000 acres, MD/NJ/DE/SC</t>
  </si>
  <si>
    <t xml:space="preserve">Egg wraps, pancakes, crepes; Hopewell Junction, NY</t>
  </si>
  <si>
    <t xml:space="preserve">Buyout (remainder)</t>
  </si>
  <si>
    <t xml:space="preserve">MeadowCreek Foods (9.23% interest)</t>
  </si>
  <si>
    <t xml:space="preserve">Wholly-owned hard-cooked eggs subsidiary</t>
  </si>
  <si>
    <t xml:space="preserve">Deal-Rite Feeds assets</t>
  </si>
  <si>
    <t xml:space="preserve">2 feed mills + storage facilities, NC</t>
  </si>
  <si>
    <t xml:space="preserve">Class A Common Stock conversion</t>
  </si>
  <si>
    <t xml:space="preserve">Non-cash</t>
  </si>
  <si>
    <t xml:space="preserve">Ceased to be a "controlled company" under Nasdaq rules</t>
  </si>
  <si>
    <t xml:space="preserve">Buyback</t>
  </si>
  <si>
    <t xml:space="preserve">Repurchased shares (Adams family)</t>
  </si>
  <si>
    <t xml:space="preserve">$50.0M</t>
  </si>
  <si>
    <t xml:space="preserve">551,876 shares; new $500M repurchase program (Feb 2025)</t>
  </si>
  <si>
    <t xml:space="preserve">Echo Lake Foods (subsequent event)</t>
  </si>
  <si>
    <t xml:space="preserve">$258M cash</t>
  </si>
  <si>
    <t xml:space="preserve">Prepared foods (waffles, pancakes, omelets); Burlington, WI</t>
  </si>
  <si>
    <t xml:space="preserve">Cal-Maine Foods — FY2025 financial snapshot</t>
  </si>
  <si>
    <t xml:space="preserve">Fiscal years end Saturday closest to May 31. FY25 = 52 weeks ended May 31, 2025.</t>
  </si>
  <si>
    <t xml:space="preserve">Metric</t>
  </si>
  <si>
    <t xml:space="preserve">FY2025</t>
  </si>
  <si>
    <t xml:space="preserve">FY2024</t>
  </si>
  <si>
    <t xml:space="preserve">FY2023</t>
  </si>
  <si>
    <t xml:space="preserve">Net sales ($M)</t>
  </si>
  <si>
    <t xml:space="preserve">YoY +83.2% in FY25</t>
  </si>
  <si>
    <t xml:space="preserve">Gross profit ($M)</t>
  </si>
  <si>
    <t xml:space="preserve">Gross margin 43.4% vs 23.3%</t>
  </si>
  <si>
    <t xml:space="preserve">Operating income ($M)</t>
  </si>
  <si>
    <t xml:space="preserve">Net income to CALM ($M)</t>
  </si>
  <si>
    <t xml:space="preserve">EPS basic ($)</t>
  </si>
  <si>
    <t xml:space="preserve">EPS diluted ($)</t>
  </si>
  <si>
    <t xml:space="preserve">Total dozens sold (M)</t>
  </si>
  <si>
    <t xml:space="preserve">+11.8% YoY in FY25</t>
  </si>
  <si>
    <t xml:space="preserve">Conventional dozens (M)</t>
  </si>
  <si>
    <t xml:space="preserve">Specialty dozens (M)</t>
  </si>
  <si>
    <t xml:space="preserve">Net average price per dozen ($)</t>
  </si>
  <si>
    <t xml:space="preserve">Blended; FY25 +62.2% YoY</t>
  </si>
  <si>
    <t xml:space="preserve">Conventional price per dozen ($)</t>
  </si>
  <si>
    <t xml:space="preserve">+101.7% YoY</t>
  </si>
  <si>
    <t xml:space="preserve">Specialty price per dozen ($)</t>
  </si>
  <si>
    <t xml:space="preserve">+9.1% YoY</t>
  </si>
  <si>
    <t xml:space="preserve">Feed cost per dozen produced ($)</t>
  </si>
  <si>
    <t xml:space="preserve">-10.9% YoY</t>
  </si>
  <si>
    <t xml:space="preserve">Total farm production cost per dozen ($)</t>
  </si>
  <si>
    <t xml:space="preserve">UB SE white-large avg price ($)</t>
  </si>
  <si>
    <t xml:space="preserve">Urner Barry index</t>
  </si>
  <si>
    <t xml:space="preserve">Cash &amp; equivalents ($M)</t>
  </si>
  <si>
    <t xml:space="preserve">Investment securities AFS ($M)</t>
  </si>
  <si>
    <t xml:space="preserve">Total assets ($M)</t>
  </si>
  <si>
    <t xml:space="preserve">Total stockholders equity ($M)</t>
  </si>
  <si>
    <t xml:space="preserve">Goodwill ($M)</t>
  </si>
  <si>
    <t xml:space="preserve">1.5% of total assets</t>
  </si>
  <si>
    <t xml:space="preserve">Layers (millions, year-end)</t>
  </si>
  <si>
    <t xml:space="preserve">Pullets &amp; breeders (millions)</t>
  </si>
  <si>
    <t xml:space="preserve">Cage-free share of net shell egg sales</t>
  </si>
  <si>
    <t xml:space="preserve">~22.5% of FY25 shell egg revenue</t>
  </si>
  <si>
    <t xml:space="preserve">Walmart % of net sales</t>
  </si>
  <si>
    <t xml:space="preserve">Top customer concentration</t>
  </si>
  <si>
    <t xml:space="preserve">Top 3 customers % of net sales</t>
  </si>
  <si>
    <t xml:space="preserve">Dividends paid ($M)</t>
  </si>
  <si>
    <t xml:space="preserve">1/3 of quarterly net income policy</t>
  </si>
  <si>
    <t xml:space="preserve">Share repurchases ($M)</t>
  </si>
  <si>
    <t xml:space="preserve">New $500M program; $450M remaining</t>
  </si>
  <si>
    <t xml:space="preserve">Effective tax rate</t>
  </si>
  <si>
    <t xml:space="preserve">Shares outstanding (M)</t>
  </si>
  <si>
    <t xml:space="preserve">Down from buybacks</t>
  </si>
  <si>
    <t xml:space="preserve">Computed YoY changes</t>
  </si>
  <si>
    <t xml:space="preserve">Net sales growth FY25</t>
  </si>
  <si>
    <t xml:space="preserve">Net income growth FY25</t>
  </si>
  <si>
    <t xml:space="preserve">Gross margin FY25</t>
  </si>
  <si>
    <t xml:space="preserve">Gross margin FY24</t>
  </si>
  <si>
    <t xml:space="preserve">Net margin FY25</t>
  </si>
  <si>
    <t xml:space="preserve">US egg industry — context metrics</t>
  </si>
  <si>
    <t xml:space="preserve">CALM FY2025 10-K (May 31, 2025)</t>
  </si>
  <si>
    <t xml:space="preserve">Period</t>
  </si>
  <si>
    <t xml:space="preserve">Source</t>
  </si>
  <si>
    <t xml:space="preserve">US table-egg layer flock (M)</t>
  </si>
  <si>
    <t xml:space="preserve">Jun 1, 2025</t>
  </si>
  <si>
    <t xml:space="preserve">USDA — down from 304.3M YoY (HPAI)</t>
  </si>
  <si>
    <t xml:space="preserve">Jun 1, 2024</t>
  </si>
  <si>
    <t xml:space="preserve">USDA</t>
  </si>
  <si>
    <t xml:space="preserve">Jun 1, 2023</t>
  </si>
  <si>
    <t xml:space="preserve">US table-egg layer flock 5-yr avg (M)</t>
  </si>
  <si>
    <t xml:space="preserve">5-yr avg</t>
  </si>
  <si>
    <t xml:space="preserve">Cage-free flock (M hens)</t>
  </si>
  <si>
    <t xml:space="preserve">May 31, 2025</t>
  </si>
  <si>
    <t xml:space="preserve">USDA — 44.9% of total US table-egg flock</t>
  </si>
  <si>
    <t xml:space="preserve">Cage-free needed for purchase pledges (M)</t>
  </si>
  <si>
    <t xml:space="preserve">USDA AMS — ~73% of non-organic flock</t>
  </si>
  <si>
    <t xml:space="preserve">HPAI commercial layer depopulations (M)</t>
  </si>
  <si>
    <t xml:space="preserve">CY2024</t>
  </si>
  <si>
    <t xml:space="preserve">Jan-May 2025</t>
  </si>
  <si>
    <t xml:space="preserve">USDA — through May 2025</t>
  </si>
  <si>
    <t xml:space="preserve">Top 10 producers % of US layer hens</t>
  </si>
  <si>
    <t xml:space="preserve">YE 2024</t>
  </si>
  <si>
    <t xml:space="preserve">Egg Industry Magazine — same in 2023</t>
  </si>
  <si>
    <t xml:space="preserve">Per capita US egg consumption (eggs/yr)</t>
  </si>
  <si>
    <t xml:space="preserve">2020-2024</t>
  </si>
  <si>
    <t xml:space="preserve">USDA ERS — range 271-288</t>
  </si>
  <si>
    <t xml:space="preserve">USDA ERS — range high</t>
  </si>
  <si>
    <t xml:space="preserve">CALM share of US shell egg consumption</t>
  </si>
  <si>
    <t xml:space="preserve">Cal-Maine 10-K estimate</t>
  </si>
  <si>
    <t xml:space="preserve">CALM avg net selling price ($/dozen)</t>
  </si>
  <si>
    <t xml:space="preserve">Up from $1.932 in FY24</t>
  </si>
  <si>
    <t xml:space="preserve">CALM dozens sold (B)</t>
  </si>
  <si>
    <t xml:space="preserve">+11.8% YoY</t>
  </si>
  <si>
    <t xml:space="preserve">CALM cage-free % of net shell egg sales</t>
  </si>
  <si>
    <t xml:space="preserve">Walmart % of CALM net sales</t>
  </si>
  <si>
    <t xml:space="preserve">Single largest customer concentration</t>
  </si>
  <si>
    <t xml:space="preserve">Top 3 customers % of CALM net sales</t>
  </si>
  <si>
    <t xml:space="preserve">Cage-free pledged share required by 2026</t>
  </si>
  <si>
    <t xml:space="preserve">AMS 2024</t>
  </si>
  <si>
    <t xml:space="preserve">Of US non-organic flock</t>
  </si>
  <si>
    <t xml:space="preserve">Industry feed cost % of CALM farm production</t>
  </si>
  <si>
    <t xml:space="preserve">Range: 53-63% over last 5 years</t>
  </si>
  <si>
    <t xml:space="preserve">CALM CBOT corn price avg ($/bushel)</t>
  </si>
  <si>
    <t xml:space="preserve">Down 8.1% YoY</t>
  </si>
  <si>
    <t xml:space="preserve">CALM CBOT soybean meal avg ($/ton)</t>
  </si>
  <si>
    <t xml:space="preserve">Down 20.1% YoY</t>
  </si>
  <si>
    <t xml:space="preserve">US flock losses to HPAI in 2025 (M)</t>
  </si>
  <si>
    <t xml:space="preserve">&gt;50</t>
  </si>
  <si>
    <t xml:space="preserve">2025</t>
  </si>
  <si>
    <t xml:space="preserve">Worst single year on record per WATT</t>
  </si>
  <si>
    <t xml:space="preserve">Avg annual HPAI losses 2022-2025 (M)</t>
  </si>
  <si>
    <t xml:space="preserve">4-yr avg</t>
  </si>
  <si>
    <t xml:space="preserve">WATT</t>
  </si>
  <si>
    <t xml:space="preserve">US egg market revenue ($B)</t>
  </si>
  <si>
    <t xml:space="preserve">Industry estimate</t>
  </si>
  <si>
    <t xml:space="preserve">Versova cooperative restructuring</t>
  </si>
  <si>
    <t xml:space="preserve">Y</t>
  </si>
  <si>
    <t xml:space="preserve">Combines 7 farm groups into Versova Mgmt Coop</t>
  </si>
  <si>
    <t xml:space="preserve">Foreign ownership of top-5 US producer</t>
  </si>
  <si>
    <t xml:space="preserve">Hillandale to Global Eggs (Brazilian)</t>
  </si>
  <si>
    <t xml:space="preserve">Foreign ownership of top-15 US producer</t>
  </si>
  <si>
    <t xml:space="preserve">Hickman's to Mantiqueira USA (JBS + Brazilian)</t>
  </si>
  <si>
    <t xml:space="preserve">Cal-Maine acquisitions completed since FY24</t>
  </si>
  <si>
    <t xml:space="preserve">2023-2026</t>
  </si>
  <si>
    <t xml:space="preserve">Fassio, Tyson Dexter, ISE, Crepini, MeadowCreek, Deal-Rite, Echo Lake, Creighton</t>
  </si>
  <si>
    <t xml:space="preserve">Cal-Maine total acquisitions (lifetime)</t>
  </si>
  <si>
    <t xml:space="preserve">1989-2026</t>
  </si>
  <si>
    <t xml:space="preserve">Per FY25 10-K + Creighton in March 2026</t>
  </si>
  <si>
    <t xml:space="preserve">Total cage-free flock (M hens)</t>
  </si>
  <si>
    <t xml:space="preserve">US shell egg market 2025 ($B)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</si>
</sst>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General"/>
    <numFmt numFmtId="167" formatCode="0.0"/>
    <numFmt numFmtId="168" formatCode="#,##0.0"/>
    <numFmt numFmtId="169" formatCode="0.000"/>
    <numFmt numFmtId="170" formatCode="0.0%"/>
    <numFmt numFmtId="171" formatCode="#,##0.000"/>
    <numFmt numFmtId="172" formatCode="#,##0"/>
    <numFmt numFmtId="173" formatCode="mmm\-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1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4E0"/>
      </patternFill>
    </fill>
    <fill>
      <patternFill patternType="solid">
        <fgColor rgb="FFE0F4E0"/>
        <bgColor rgb="FFD4F1D4"/>
      </patternFill>
    </fill>
    <fill>
      <patternFill patternType="solid">
        <fgColor rgb="FFFFE0E0"/>
        <bgColor rgb="FFFFF4E0"/>
      </patternFill>
    </fill>
    <fill>
      <patternFill patternType="solid">
        <fgColor rgb="FFE0EAF4"/>
        <bgColor rgb="FFE0F4E0"/>
      </patternFill>
    </fill>
    <fill>
      <patternFill patternType="solid">
        <fgColor rgb="FFFFF4E0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4F1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0F4E0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AF4"/>
      <rgbColor rgb="FFD4F1D4"/>
      <rgbColor rgb="FFF3F4F6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2" activeCellId="0" sqref="A1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3.33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50.8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n">
        <v>1</v>
      </c>
      <c r="B3" s="4" t="s">
        <v>6</v>
      </c>
      <c r="C3" s="5" t="n">
        <v>51.5</v>
      </c>
      <c r="D3" s="3" t="n">
        <v>15</v>
      </c>
      <c r="E3" s="3" t="s">
        <v>7</v>
      </c>
    </row>
    <row r="4" customFormat="false" ht="15" hidden="false" customHeight="false" outlineLevel="0" collapsed="false">
      <c r="A4" s="3" t="n">
        <v>2</v>
      </c>
      <c r="B4" s="4" t="s">
        <v>8</v>
      </c>
      <c r="C4" s="5" t="n">
        <v>30</v>
      </c>
      <c r="D4" s="3" t="n">
        <v>4</v>
      </c>
      <c r="E4" s="3" t="s">
        <v>9</v>
      </c>
    </row>
    <row r="5" customFormat="false" ht="15" hidden="false" customHeight="false" outlineLevel="0" collapsed="false">
      <c r="A5" s="3" t="n">
        <v>3</v>
      </c>
      <c r="B5" s="4" t="s">
        <v>10</v>
      </c>
      <c r="C5" s="5" t="n">
        <v>25.5</v>
      </c>
      <c r="D5" s="3" t="n">
        <v>7</v>
      </c>
      <c r="E5" s="3" t="s">
        <v>11</v>
      </c>
    </row>
    <row r="6" customFormat="false" ht="15" hidden="false" customHeight="false" outlineLevel="0" collapsed="false">
      <c r="A6" s="3" t="n">
        <v>4</v>
      </c>
      <c r="B6" s="4" t="s">
        <v>12</v>
      </c>
      <c r="C6" s="5" t="n">
        <v>23.3</v>
      </c>
      <c r="D6" s="3" t="n">
        <v>3</v>
      </c>
      <c r="E6" s="3" t="s">
        <v>13</v>
      </c>
    </row>
    <row r="7" customFormat="false" ht="15" hidden="false" customHeight="false" outlineLevel="0" collapsed="false">
      <c r="A7" s="3" t="n">
        <v>5</v>
      </c>
      <c r="B7" s="4" t="s">
        <v>14</v>
      </c>
      <c r="C7" s="5" t="n">
        <v>21</v>
      </c>
      <c r="D7" s="3" t="n">
        <v>5</v>
      </c>
      <c r="E7" s="3" t="s">
        <v>15</v>
      </c>
    </row>
    <row r="8" customFormat="false" ht="15" hidden="false" customHeight="false" outlineLevel="0" collapsed="false">
      <c r="A8" s="3" t="n">
        <v>6</v>
      </c>
      <c r="B8" s="4" t="s">
        <v>16</v>
      </c>
      <c r="C8" s="5" t="n">
        <v>15</v>
      </c>
      <c r="D8" s="3" t="n">
        <v>2</v>
      </c>
      <c r="E8" s="3" t="s">
        <v>17</v>
      </c>
    </row>
    <row r="9" customFormat="false" ht="15" hidden="false" customHeight="false" outlineLevel="0" collapsed="false">
      <c r="A9" s="3" t="n">
        <v>7</v>
      </c>
      <c r="B9" s="4" t="s">
        <v>18</v>
      </c>
      <c r="C9" s="5" t="n">
        <v>14</v>
      </c>
      <c r="D9" s="3" t="n">
        <v>2</v>
      </c>
      <c r="E9" s="3" t="s">
        <v>19</v>
      </c>
    </row>
    <row r="10" customFormat="false" ht="15" hidden="false" customHeight="false" outlineLevel="0" collapsed="false">
      <c r="A10" s="3" t="n">
        <v>8</v>
      </c>
      <c r="B10" s="4" t="s">
        <v>20</v>
      </c>
      <c r="C10" s="5" t="n">
        <v>10.5</v>
      </c>
      <c r="D10" s="3" t="n">
        <v>3</v>
      </c>
      <c r="E10" s="3"/>
    </row>
    <row r="11" customFormat="false" ht="15" hidden="false" customHeight="false" outlineLevel="0" collapsed="false">
      <c r="A11" s="3" t="n">
        <v>9</v>
      </c>
      <c r="B11" s="4" t="s">
        <v>21</v>
      </c>
      <c r="C11" s="5" t="n">
        <v>10</v>
      </c>
      <c r="D11" s="3" t="n">
        <v>10</v>
      </c>
      <c r="E11" s="3" t="s">
        <v>22</v>
      </c>
    </row>
    <row r="12" customFormat="false" ht="15" hidden="false" customHeight="false" outlineLevel="0" collapsed="false">
      <c r="A12" s="6"/>
      <c r="B12" s="7" t="s">
        <v>23</v>
      </c>
      <c r="C12" s="8" t="n">
        <f aca="false">SUM(C3:C11)</f>
        <v>200.8</v>
      </c>
      <c r="D12" s="6"/>
      <c r="E12" s="6"/>
    </row>
    <row r="17" customFormat="false" ht="15" hidden="false" customHeight="false" outlineLevel="0" collapsed="false">
      <c r="B17" s="0" t="s">
        <v>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18" hidden="false" customHeight="true" outlineLevel="0" collapsed="false">
      <c r="A1" s="9" t="s">
        <v>25</v>
      </c>
    </row>
    <row r="2" customFormat="false" ht="15" hidden="false" customHeight="false" outlineLevel="0" collapsed="false">
      <c r="A2" s="10" t="s">
        <v>26</v>
      </c>
    </row>
    <row r="4" customFormat="false" ht="15" hidden="false" customHeight="false" outlineLevel="0" collapsed="false">
      <c r="A4" s="11" t="s">
        <v>27</v>
      </c>
      <c r="B4" s="11" t="s">
        <v>28</v>
      </c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  <c r="I4" s="11" t="s">
        <v>35</v>
      </c>
      <c r="J4" s="11" t="s">
        <v>21</v>
      </c>
      <c r="K4" s="11" t="s">
        <v>36</v>
      </c>
      <c r="L4" s="11" t="s">
        <v>37</v>
      </c>
      <c r="M4" s="11" t="s">
        <v>38</v>
      </c>
    </row>
    <row r="5" customFormat="false" ht="15" hidden="false" customHeight="false" outlineLevel="0" collapsed="false">
      <c r="A5" s="12" t="s">
        <v>39</v>
      </c>
      <c r="B5" s="13" t="n">
        <v>1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4" t="n">
        <f aca="false">SUM(B5:J5)</f>
        <v>1</v>
      </c>
      <c r="L5" s="13" t="str">
        <f aca="false">IF(B5=1,"Yes","No")</f>
        <v>Yes</v>
      </c>
      <c r="M5" s="13" t="n">
        <f aca="false">SUM(C5:J5)</f>
        <v>0</v>
      </c>
    </row>
    <row r="6" customFormat="false" ht="15" hidden="false" customHeight="false" outlineLevel="0" collapsed="false">
      <c r="A6" s="12" t="s">
        <v>40</v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4" t="n">
        <f aca="false">SUM(B6:J6)</f>
        <v>0</v>
      </c>
      <c r="L6" s="13" t="str">
        <f aca="false">IF(B6=1,"Yes","No")</f>
        <v>No</v>
      </c>
      <c r="M6" s="13" t="n">
        <f aca="false">SUM(C6:J6)</f>
        <v>0</v>
      </c>
    </row>
    <row r="7" customFormat="false" ht="15" hidden="false" customHeight="false" outlineLevel="0" collapsed="false">
      <c r="A7" s="12" t="s">
        <v>41</v>
      </c>
      <c r="B7" s="13" t="n">
        <v>0</v>
      </c>
      <c r="C7" s="13" t="n">
        <v>0</v>
      </c>
      <c r="D7" s="13" t="n">
        <v>1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4" t="n">
        <f aca="false">SUM(B7:J7)</f>
        <v>1</v>
      </c>
      <c r="L7" s="13" t="str">
        <f aca="false">IF(B7=1,"Yes","No")</f>
        <v>No</v>
      </c>
      <c r="M7" s="13" t="n">
        <f aca="false">SUM(C7:J7)</f>
        <v>1</v>
      </c>
    </row>
    <row r="8" customFormat="false" ht="15" hidden="false" customHeight="false" outlineLevel="0" collapsed="false">
      <c r="A8" s="12" t="s">
        <v>42</v>
      </c>
      <c r="B8" s="13" t="n">
        <v>1</v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1</v>
      </c>
      <c r="H8" s="13" t="n">
        <v>0</v>
      </c>
      <c r="I8" s="13" t="n">
        <v>0</v>
      </c>
      <c r="J8" s="13" t="n">
        <v>1</v>
      </c>
      <c r="K8" s="14" t="n">
        <f aca="false">SUM(B8:J8)</f>
        <v>3</v>
      </c>
      <c r="L8" s="13" t="str">
        <f aca="false">IF(B8=1,"Yes","No")</f>
        <v>Yes</v>
      </c>
      <c r="M8" s="13" t="n">
        <f aca="false">SUM(C8:J8)</f>
        <v>2</v>
      </c>
    </row>
    <row r="9" customFormat="false" ht="15" hidden="false" customHeight="false" outlineLevel="0" collapsed="false">
      <c r="A9" s="12" t="s">
        <v>43</v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4" t="n">
        <f aca="false">SUM(B9:J9)</f>
        <v>0</v>
      </c>
      <c r="L9" s="13" t="str">
        <f aca="false">IF(B9=1,"Yes","No")</f>
        <v>No</v>
      </c>
      <c r="M9" s="13" t="n">
        <f aca="false">SUM(C9:J9)</f>
        <v>0</v>
      </c>
    </row>
    <row r="10" customFormat="false" ht="15" hidden="false" customHeight="false" outlineLevel="0" collapsed="false">
      <c r="A10" s="12" t="s">
        <v>44</v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4" t="n">
        <f aca="false">SUM(B10:J10)</f>
        <v>0</v>
      </c>
      <c r="L10" s="13" t="str">
        <f aca="false">IF(B10=1,"Yes","No")</f>
        <v>No</v>
      </c>
      <c r="M10" s="13" t="n">
        <f aca="false">SUM(C10:J10)</f>
        <v>0</v>
      </c>
    </row>
    <row r="11" customFormat="false" ht="15" hidden="false" customHeight="false" outlineLevel="0" collapsed="false">
      <c r="A11" s="12" t="s">
        <v>45</v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1</v>
      </c>
      <c r="G11" s="13" t="n">
        <v>0</v>
      </c>
      <c r="H11" s="13" t="n">
        <v>0</v>
      </c>
      <c r="I11" s="13" t="n">
        <v>0</v>
      </c>
      <c r="J11" s="13" t="n">
        <v>0</v>
      </c>
      <c r="K11" s="14" t="n">
        <f aca="false">SUM(B11:J11)</f>
        <v>1</v>
      </c>
      <c r="L11" s="13" t="str">
        <f aca="false">IF(B11=1,"Yes","No")</f>
        <v>No</v>
      </c>
      <c r="M11" s="13" t="n">
        <f aca="false">SUM(C11:J11)</f>
        <v>1</v>
      </c>
    </row>
    <row r="12" customFormat="false" ht="15" hidden="false" customHeight="false" outlineLevel="0" collapsed="false">
      <c r="A12" s="12" t="s">
        <v>46</v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4" t="n">
        <f aca="false">SUM(B12:J12)</f>
        <v>0</v>
      </c>
      <c r="L12" s="13" t="str">
        <f aca="false">IF(B12=1,"Yes","No")</f>
        <v>No</v>
      </c>
      <c r="M12" s="13" t="n">
        <f aca="false">SUM(C12:J12)</f>
        <v>0</v>
      </c>
    </row>
    <row r="13" customFormat="false" ht="15" hidden="false" customHeight="false" outlineLevel="0" collapsed="false">
      <c r="A13" s="12" t="s">
        <v>47</v>
      </c>
      <c r="B13" s="13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4" t="n">
        <f aca="false">SUM(B13:J13)</f>
        <v>1</v>
      </c>
      <c r="L13" s="13" t="str">
        <f aca="false">IF(B13=1,"Yes","No")</f>
        <v>Yes</v>
      </c>
      <c r="M13" s="13" t="n">
        <f aca="false">SUM(C13:J13)</f>
        <v>0</v>
      </c>
    </row>
    <row r="14" customFormat="false" ht="15" hidden="false" customHeight="false" outlineLevel="0" collapsed="false">
      <c r="A14" s="12" t="s">
        <v>48</v>
      </c>
      <c r="B14" s="13" t="n">
        <v>1</v>
      </c>
      <c r="C14" s="13" t="n">
        <v>0</v>
      </c>
      <c r="D14" s="13" t="n">
        <v>1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4" t="n">
        <f aca="false">SUM(B14:J14)</f>
        <v>2</v>
      </c>
      <c r="L14" s="13" t="str">
        <f aca="false">IF(B14=1,"Yes","No")</f>
        <v>Yes</v>
      </c>
      <c r="M14" s="13" t="n">
        <f aca="false">SUM(C14:J14)</f>
        <v>1</v>
      </c>
    </row>
    <row r="15" customFormat="false" ht="15" hidden="false" customHeight="false" outlineLevel="0" collapsed="false">
      <c r="A15" s="12" t="s">
        <v>49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4" t="n">
        <f aca="false">SUM(B15:J15)</f>
        <v>0</v>
      </c>
      <c r="L15" s="13" t="str">
        <f aca="false">IF(B15=1,"Yes","No")</f>
        <v>No</v>
      </c>
      <c r="M15" s="13" t="n">
        <f aca="false">SUM(C15:J15)</f>
        <v>0</v>
      </c>
    </row>
    <row r="16" customFormat="false" ht="15" hidden="false" customHeight="false" outlineLevel="0" collapsed="false">
      <c r="A16" s="12" t="s">
        <v>50</v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4" t="n">
        <f aca="false">SUM(B16:J16)</f>
        <v>0</v>
      </c>
      <c r="L16" s="13" t="str">
        <f aca="false">IF(B16=1,"Yes","No")</f>
        <v>No</v>
      </c>
      <c r="M16" s="13" t="n">
        <f aca="false">SUM(C16:J16)</f>
        <v>0</v>
      </c>
    </row>
    <row r="17" customFormat="false" ht="15" hidden="false" customHeight="false" outlineLevel="0" collapsed="false">
      <c r="A17" s="12" t="s">
        <v>51</v>
      </c>
      <c r="B17" s="13" t="n">
        <v>0</v>
      </c>
      <c r="C17" s="13" t="n">
        <v>0</v>
      </c>
      <c r="D17" s="13" t="n">
        <v>1</v>
      </c>
      <c r="E17" s="13" t="n">
        <v>0</v>
      </c>
      <c r="F17" s="13" t="n">
        <v>0</v>
      </c>
      <c r="G17" s="13" t="n">
        <v>0</v>
      </c>
      <c r="H17" s="13" t="n">
        <v>1</v>
      </c>
      <c r="I17" s="13" t="n">
        <v>0</v>
      </c>
      <c r="J17" s="13" t="n">
        <v>1</v>
      </c>
      <c r="K17" s="14" t="n">
        <f aca="false">SUM(B17:J17)</f>
        <v>3</v>
      </c>
      <c r="L17" s="13" t="str">
        <f aca="false">IF(B17=1,"Yes","No")</f>
        <v>No</v>
      </c>
      <c r="M17" s="13" t="n">
        <f aca="false">SUM(C17:J17)</f>
        <v>3</v>
      </c>
    </row>
    <row r="18" customFormat="false" ht="15" hidden="false" customHeight="false" outlineLevel="0" collapsed="false">
      <c r="A18" s="12" t="s">
        <v>52</v>
      </c>
      <c r="B18" s="13" t="n">
        <v>0</v>
      </c>
      <c r="C18" s="13" t="n">
        <v>0</v>
      </c>
      <c r="D18" s="13" t="n">
        <v>1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1</v>
      </c>
      <c r="K18" s="14" t="n">
        <f aca="false">SUM(B18:J18)</f>
        <v>2</v>
      </c>
      <c r="L18" s="13" t="str">
        <f aca="false">IF(B18=1,"Yes","No")</f>
        <v>No</v>
      </c>
      <c r="M18" s="13" t="n">
        <f aca="false">SUM(C18:J18)</f>
        <v>2</v>
      </c>
    </row>
    <row r="19" customFormat="false" ht="15" hidden="false" customHeight="false" outlineLevel="0" collapsed="false">
      <c r="A19" s="12" t="s">
        <v>53</v>
      </c>
      <c r="B19" s="13" t="n">
        <v>0</v>
      </c>
      <c r="C19" s="13" t="n">
        <v>1</v>
      </c>
      <c r="D19" s="13" t="n">
        <v>1</v>
      </c>
      <c r="E19" s="13" t="n">
        <v>1</v>
      </c>
      <c r="F19" s="13" t="n">
        <v>1</v>
      </c>
      <c r="G19" s="13" t="n">
        <v>0</v>
      </c>
      <c r="H19" s="13" t="n">
        <v>1</v>
      </c>
      <c r="I19" s="13" t="n">
        <v>1</v>
      </c>
      <c r="J19" s="13" t="n">
        <v>0</v>
      </c>
      <c r="K19" s="14" t="n">
        <f aca="false">SUM(B19:J19)</f>
        <v>6</v>
      </c>
      <c r="L19" s="13" t="str">
        <f aca="false">IF(B19=1,"Yes","No")</f>
        <v>No</v>
      </c>
      <c r="M19" s="13" t="n">
        <f aca="false">SUM(C19:J19)</f>
        <v>6</v>
      </c>
    </row>
    <row r="20" customFormat="false" ht="15" hidden="false" customHeight="false" outlineLevel="0" collapsed="false">
      <c r="A20" s="12" t="s">
        <v>54</v>
      </c>
      <c r="B20" s="13" t="n">
        <v>1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1</v>
      </c>
      <c r="K20" s="14" t="n">
        <f aca="false">SUM(B20:J20)</f>
        <v>2</v>
      </c>
      <c r="L20" s="13" t="str">
        <f aca="false">IF(B20=1,"Yes","No")</f>
        <v>Yes</v>
      </c>
      <c r="M20" s="13" t="n">
        <f aca="false">SUM(C20:J20)</f>
        <v>1</v>
      </c>
    </row>
    <row r="21" customFormat="false" ht="15" hidden="false" customHeight="false" outlineLevel="0" collapsed="false">
      <c r="A21" s="12" t="s">
        <v>55</v>
      </c>
      <c r="B21" s="13" t="n">
        <v>1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1</v>
      </c>
      <c r="K21" s="14" t="n">
        <f aca="false">SUM(B21:J21)</f>
        <v>2</v>
      </c>
      <c r="L21" s="13" t="str">
        <f aca="false">IF(B21=1,"Yes","No")</f>
        <v>Yes</v>
      </c>
      <c r="M21" s="13" t="n">
        <f aca="false">SUM(C21:J21)</f>
        <v>1</v>
      </c>
    </row>
    <row r="22" customFormat="false" ht="15" hidden="false" customHeight="false" outlineLevel="0" collapsed="false">
      <c r="A22" s="12" t="s">
        <v>56</v>
      </c>
      <c r="B22" s="13" t="n">
        <v>1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4" t="n">
        <f aca="false">SUM(B22:J22)</f>
        <v>1</v>
      </c>
      <c r="L22" s="13" t="str">
        <f aca="false">IF(B22=1,"Yes","No")</f>
        <v>Yes</v>
      </c>
      <c r="M22" s="13" t="n">
        <f aca="false">SUM(C22:J22)</f>
        <v>0</v>
      </c>
    </row>
    <row r="23" customFormat="false" ht="15" hidden="false" customHeight="false" outlineLevel="0" collapsed="false">
      <c r="A23" s="12" t="s">
        <v>57</v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1</v>
      </c>
      <c r="G23" s="13" t="n">
        <v>0</v>
      </c>
      <c r="H23" s="13" t="n">
        <v>0</v>
      </c>
      <c r="I23" s="13" t="n">
        <v>0</v>
      </c>
      <c r="J23" s="13" t="n">
        <v>0</v>
      </c>
      <c r="K23" s="14" t="n">
        <f aca="false">SUM(B23:J23)</f>
        <v>1</v>
      </c>
      <c r="L23" s="13" t="str">
        <f aca="false">IF(B23=1,"Yes","No")</f>
        <v>No</v>
      </c>
      <c r="M23" s="13" t="n">
        <f aca="false">SUM(C23:J23)</f>
        <v>1</v>
      </c>
    </row>
    <row r="24" customFormat="false" ht="15" hidden="false" customHeight="false" outlineLevel="0" collapsed="false">
      <c r="A24" s="12" t="s">
        <v>58</v>
      </c>
      <c r="B24" s="13" t="n">
        <v>1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4" t="n">
        <f aca="false">SUM(B24:J24)</f>
        <v>1</v>
      </c>
      <c r="L24" s="13" t="str">
        <f aca="false">IF(B24=1,"Yes","No")</f>
        <v>Yes</v>
      </c>
      <c r="M24" s="13" t="n">
        <f aca="false">SUM(C24:J24)</f>
        <v>0</v>
      </c>
    </row>
    <row r="25" customFormat="false" ht="15" hidden="false" customHeight="false" outlineLevel="0" collapsed="false">
      <c r="A25" s="12" t="s">
        <v>59</v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4" t="n">
        <f aca="false">SUM(B25:J25)</f>
        <v>0</v>
      </c>
      <c r="L25" s="13" t="str">
        <f aca="false">IF(B25=1,"Yes","No")</f>
        <v>No</v>
      </c>
      <c r="M25" s="13" t="n">
        <f aca="false">SUM(C25:J25)</f>
        <v>0</v>
      </c>
    </row>
    <row r="26" customFormat="false" ht="15" hidden="false" customHeight="false" outlineLevel="0" collapsed="false">
      <c r="A26" s="12" t="s">
        <v>60</v>
      </c>
      <c r="B26" s="13" t="n">
        <v>0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4" t="n">
        <f aca="false">SUM(B26:J26)</f>
        <v>0</v>
      </c>
      <c r="L26" s="13" t="str">
        <f aca="false">IF(B26=1,"Yes","No")</f>
        <v>No</v>
      </c>
      <c r="M26" s="13" t="n">
        <f aca="false">SUM(C26:J26)</f>
        <v>0</v>
      </c>
    </row>
    <row r="27" customFormat="false" ht="15" hidden="false" customHeight="false" outlineLevel="0" collapsed="false">
      <c r="A27" s="12" t="s">
        <v>61</v>
      </c>
      <c r="B27" s="13" t="n">
        <v>0</v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1</v>
      </c>
      <c r="J27" s="13" t="n">
        <v>0</v>
      </c>
      <c r="K27" s="14" t="n">
        <f aca="false">SUM(B27:J27)</f>
        <v>1</v>
      </c>
      <c r="L27" s="13" t="str">
        <f aca="false">IF(B27=1,"Yes","No")</f>
        <v>No</v>
      </c>
      <c r="M27" s="13" t="n">
        <f aca="false">SUM(C27:J27)</f>
        <v>1</v>
      </c>
    </row>
    <row r="28" customFormat="false" ht="15" hidden="false" customHeight="false" outlineLevel="0" collapsed="false">
      <c r="A28" s="12" t="s">
        <v>62</v>
      </c>
      <c r="B28" s="13" t="n">
        <v>1</v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4" t="n">
        <f aca="false">SUM(B28:J28)</f>
        <v>1</v>
      </c>
      <c r="L28" s="13" t="str">
        <f aca="false">IF(B28=1,"Yes","No")</f>
        <v>Yes</v>
      </c>
      <c r="M28" s="13" t="n">
        <f aca="false">SUM(C28:J28)</f>
        <v>0</v>
      </c>
    </row>
    <row r="29" customFormat="false" ht="15" hidden="false" customHeight="false" outlineLevel="0" collapsed="false">
      <c r="A29" s="12" t="s">
        <v>63</v>
      </c>
      <c r="B29" s="13" t="n">
        <v>0</v>
      </c>
      <c r="C29" s="13" t="n">
        <v>0</v>
      </c>
      <c r="D29" s="13" t="n">
        <v>1</v>
      </c>
      <c r="E29" s="13" t="n">
        <v>0</v>
      </c>
      <c r="F29" s="13" t="n">
        <v>0</v>
      </c>
      <c r="G29" s="13" t="n">
        <v>1</v>
      </c>
      <c r="H29" s="13" t="n">
        <v>0</v>
      </c>
      <c r="I29" s="13" t="n">
        <v>0</v>
      </c>
      <c r="J29" s="13" t="n">
        <v>1</v>
      </c>
      <c r="K29" s="14" t="n">
        <f aca="false">SUM(B29:J29)</f>
        <v>3</v>
      </c>
      <c r="L29" s="13" t="str">
        <f aca="false">IF(B29=1,"Yes","No")</f>
        <v>No</v>
      </c>
      <c r="M29" s="13" t="n">
        <f aca="false">SUM(C29:J29)</f>
        <v>3</v>
      </c>
    </row>
    <row r="30" customFormat="false" ht="15" hidden="false" customHeight="false" outlineLevel="0" collapsed="false">
      <c r="A30" s="12" t="s">
        <v>64</v>
      </c>
      <c r="B30" s="13" t="n">
        <v>0</v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4" t="n">
        <f aca="false">SUM(B30:J30)</f>
        <v>0</v>
      </c>
      <c r="L30" s="13" t="str">
        <f aca="false">IF(B30=1,"Yes","No")</f>
        <v>No</v>
      </c>
      <c r="M30" s="13" t="n">
        <f aca="false">SUM(C30:J30)</f>
        <v>0</v>
      </c>
    </row>
    <row r="31" customFormat="false" ht="15" hidden="false" customHeight="false" outlineLevel="0" collapsed="false">
      <c r="A31" s="12" t="s">
        <v>65</v>
      </c>
      <c r="B31" s="13" t="n">
        <v>0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1</v>
      </c>
      <c r="J31" s="13" t="n">
        <v>0</v>
      </c>
      <c r="K31" s="14" t="n">
        <f aca="false">SUM(B31:J31)</f>
        <v>1</v>
      </c>
      <c r="L31" s="13" t="str">
        <f aca="false">IF(B31=1,"Yes","No")</f>
        <v>No</v>
      </c>
      <c r="M31" s="13" t="n">
        <f aca="false">SUM(C31:J31)</f>
        <v>1</v>
      </c>
    </row>
    <row r="32" customFormat="false" ht="15" hidden="false" customHeight="false" outlineLevel="0" collapsed="false">
      <c r="A32" s="12" t="s">
        <v>66</v>
      </c>
      <c r="B32" s="13" t="n">
        <v>0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4" t="n">
        <f aca="false">SUM(B32:J32)</f>
        <v>0</v>
      </c>
      <c r="L32" s="13" t="str">
        <f aca="false">IF(B32=1,"Yes","No")</f>
        <v>No</v>
      </c>
      <c r="M32" s="13" t="n">
        <f aca="false">SUM(C32:J32)</f>
        <v>0</v>
      </c>
    </row>
    <row r="33" customFormat="false" ht="15" hidden="false" customHeight="false" outlineLevel="0" collapsed="false">
      <c r="A33" s="12" t="s">
        <v>67</v>
      </c>
      <c r="B33" s="13" t="n">
        <v>0</v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4" t="n">
        <f aca="false">SUM(B33:J33)</f>
        <v>0</v>
      </c>
      <c r="L33" s="13" t="str">
        <f aca="false">IF(B33=1,"Yes","No")</f>
        <v>No</v>
      </c>
      <c r="M33" s="13" t="n">
        <f aca="false">SUM(C33:J33)</f>
        <v>0</v>
      </c>
    </row>
    <row r="34" customFormat="false" ht="15" hidden="false" customHeight="false" outlineLevel="0" collapsed="false">
      <c r="A34" s="12" t="s">
        <v>68</v>
      </c>
      <c r="B34" s="13" t="n">
        <v>1</v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4" t="n">
        <f aca="false">SUM(B34:J34)</f>
        <v>1</v>
      </c>
      <c r="L34" s="13" t="str">
        <f aca="false">IF(B34=1,"Yes","No")</f>
        <v>Yes</v>
      </c>
      <c r="M34" s="13" t="n">
        <f aca="false">SUM(C34:J34)</f>
        <v>0</v>
      </c>
    </row>
    <row r="35" customFormat="false" ht="15" hidden="false" customHeight="false" outlineLevel="0" collapsed="false">
      <c r="A35" s="12" t="s">
        <v>69</v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4" t="n">
        <f aca="false">SUM(B35:J35)</f>
        <v>0</v>
      </c>
      <c r="L35" s="13" t="str">
        <f aca="false">IF(B35=1,"Yes","No")</f>
        <v>No</v>
      </c>
      <c r="M35" s="13" t="n">
        <f aca="false">SUM(C35:J35)</f>
        <v>0</v>
      </c>
    </row>
    <row r="36" customFormat="false" ht="15" hidden="false" customHeight="false" outlineLevel="0" collapsed="false">
      <c r="A36" s="12" t="s">
        <v>70</v>
      </c>
      <c r="B36" s="13" t="n">
        <v>0</v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4" t="n">
        <f aca="false">SUM(B36:J36)</f>
        <v>0</v>
      </c>
      <c r="L36" s="13" t="str">
        <f aca="false">IF(B36=1,"Yes","No")</f>
        <v>No</v>
      </c>
      <c r="M36" s="13" t="n">
        <f aca="false">SUM(C36:J36)</f>
        <v>0</v>
      </c>
    </row>
    <row r="37" customFormat="false" ht="15" hidden="false" customHeight="false" outlineLevel="0" collapsed="false">
      <c r="A37" s="12" t="s">
        <v>71</v>
      </c>
      <c r="B37" s="13" t="n">
        <v>0</v>
      </c>
      <c r="C37" s="13" t="n">
        <v>0</v>
      </c>
      <c r="D37" s="13" t="n">
        <v>1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4" t="n">
        <f aca="false">SUM(B37:J37)</f>
        <v>1</v>
      </c>
      <c r="L37" s="13" t="str">
        <f aca="false">IF(B37=1,"Yes","No")</f>
        <v>No</v>
      </c>
      <c r="M37" s="13" t="n">
        <f aca="false">SUM(C37:J37)</f>
        <v>1</v>
      </c>
    </row>
    <row r="38" customFormat="false" ht="15" hidden="false" customHeight="false" outlineLevel="0" collapsed="false">
      <c r="A38" s="12" t="s">
        <v>72</v>
      </c>
      <c r="B38" s="13" t="n">
        <v>0</v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4" t="n">
        <f aca="false">SUM(B38:J38)</f>
        <v>0</v>
      </c>
      <c r="L38" s="13" t="str">
        <f aca="false">IF(B38=1,"Yes","No")</f>
        <v>No</v>
      </c>
      <c r="M38" s="13" t="n">
        <f aca="false">SUM(C38:J38)</f>
        <v>0</v>
      </c>
    </row>
    <row r="39" customFormat="false" ht="15" hidden="false" customHeight="false" outlineLevel="0" collapsed="false">
      <c r="A39" s="12" t="s">
        <v>73</v>
      </c>
      <c r="B39" s="13" t="n">
        <v>1</v>
      </c>
      <c r="C39" s="13" t="n">
        <v>1</v>
      </c>
      <c r="D39" s="13" t="n">
        <v>0</v>
      </c>
      <c r="E39" s="13" t="n">
        <v>1</v>
      </c>
      <c r="F39" s="13" t="n">
        <v>1</v>
      </c>
      <c r="G39" s="13" t="n">
        <v>0</v>
      </c>
      <c r="H39" s="13" t="n">
        <v>0</v>
      </c>
      <c r="I39" s="13" t="n">
        <v>0</v>
      </c>
      <c r="J39" s="13" t="n">
        <v>1</v>
      </c>
      <c r="K39" s="14" t="n">
        <f aca="false">SUM(B39:J39)</f>
        <v>5</v>
      </c>
      <c r="L39" s="13" t="str">
        <f aca="false">IF(B39=1,"Yes","No")</f>
        <v>Yes</v>
      </c>
      <c r="M39" s="13" t="n">
        <f aca="false">SUM(C39:J39)</f>
        <v>4</v>
      </c>
    </row>
    <row r="40" customFormat="false" ht="15" hidden="false" customHeight="false" outlineLevel="0" collapsed="false">
      <c r="A40" s="12" t="s">
        <v>74</v>
      </c>
      <c r="B40" s="13" t="n">
        <v>1</v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1</v>
      </c>
      <c r="K40" s="14" t="n">
        <f aca="false">SUM(B40:J40)</f>
        <v>2</v>
      </c>
      <c r="L40" s="13" t="str">
        <f aca="false">IF(B40=1,"Yes","No")</f>
        <v>Yes</v>
      </c>
      <c r="M40" s="13" t="n">
        <f aca="false">SUM(C40:J40)</f>
        <v>1</v>
      </c>
    </row>
    <row r="41" customFormat="false" ht="15" hidden="false" customHeight="false" outlineLevel="0" collapsed="false">
      <c r="A41" s="12" t="s">
        <v>75</v>
      </c>
      <c r="B41" s="13" t="n">
        <v>0</v>
      </c>
      <c r="C41" s="13" t="n">
        <v>1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4" t="n">
        <f aca="false">SUM(B41:J41)</f>
        <v>1</v>
      </c>
      <c r="L41" s="13" t="str">
        <f aca="false">IF(B41=1,"Yes","No")</f>
        <v>No</v>
      </c>
      <c r="M41" s="13" t="n">
        <f aca="false">SUM(C41:J41)</f>
        <v>1</v>
      </c>
    </row>
    <row r="42" customFormat="false" ht="15" hidden="false" customHeight="false" outlineLevel="0" collapsed="false">
      <c r="A42" s="12" t="s">
        <v>76</v>
      </c>
      <c r="B42" s="13" t="n">
        <v>0</v>
      </c>
      <c r="C42" s="13" t="n">
        <v>0</v>
      </c>
      <c r="D42" s="13" t="n">
        <v>0</v>
      </c>
      <c r="E42" s="13" t="n">
        <v>0</v>
      </c>
      <c r="F42" s="13" t="n">
        <v>1</v>
      </c>
      <c r="G42" s="13" t="n">
        <v>0</v>
      </c>
      <c r="H42" s="13" t="n">
        <v>0</v>
      </c>
      <c r="I42" s="13" t="n">
        <v>0</v>
      </c>
      <c r="J42" s="13" t="n">
        <v>0</v>
      </c>
      <c r="K42" s="14" t="n">
        <f aca="false">SUM(B42:J42)</f>
        <v>1</v>
      </c>
      <c r="L42" s="13" t="str">
        <f aca="false">IF(B42=1,"Yes","No")</f>
        <v>No</v>
      </c>
      <c r="M42" s="13" t="n">
        <f aca="false">SUM(C42:J42)</f>
        <v>1</v>
      </c>
    </row>
    <row r="43" customFormat="false" ht="15" hidden="false" customHeight="false" outlineLevel="0" collapsed="false">
      <c r="A43" s="12" t="s">
        <v>77</v>
      </c>
      <c r="B43" s="13" t="n">
        <v>0</v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4" t="n">
        <f aca="false">SUM(B43:J43)</f>
        <v>0</v>
      </c>
      <c r="L43" s="13" t="str">
        <f aca="false">IF(B43=1,"Yes","No")</f>
        <v>No</v>
      </c>
      <c r="M43" s="13" t="n">
        <f aca="false">SUM(C43:J43)</f>
        <v>0</v>
      </c>
    </row>
    <row r="44" customFormat="false" ht="15" hidden="false" customHeight="false" outlineLevel="0" collapsed="false">
      <c r="A44" s="12" t="s">
        <v>78</v>
      </c>
      <c r="B44" s="13" t="n">
        <v>1</v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4" t="n">
        <f aca="false">SUM(B44:J44)</f>
        <v>1</v>
      </c>
      <c r="L44" s="13" t="str">
        <f aca="false">IF(B44=1,"Yes","No")</f>
        <v>Yes</v>
      </c>
      <c r="M44" s="13" t="n">
        <f aca="false">SUM(C44:J44)</f>
        <v>0</v>
      </c>
    </row>
    <row r="45" customFormat="false" ht="15" hidden="false" customHeight="false" outlineLevel="0" collapsed="false">
      <c r="A45" s="12" t="s">
        <v>79</v>
      </c>
      <c r="B45" s="13" t="n">
        <v>0</v>
      </c>
      <c r="C45" s="13" t="n">
        <v>0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4" t="n">
        <f aca="false">SUM(B45:J45)</f>
        <v>0</v>
      </c>
      <c r="L45" s="13" t="str">
        <f aca="false">IF(B45=1,"Yes","No")</f>
        <v>No</v>
      </c>
      <c r="M45" s="13" t="n">
        <f aca="false">SUM(C45:J45)</f>
        <v>0</v>
      </c>
    </row>
    <row r="46" customFormat="false" ht="15" hidden="false" customHeight="false" outlineLevel="0" collapsed="false">
      <c r="A46" s="12" t="s">
        <v>80</v>
      </c>
      <c r="B46" s="13" t="n">
        <v>0</v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1</v>
      </c>
      <c r="K46" s="14" t="n">
        <f aca="false">SUM(B46:J46)</f>
        <v>1</v>
      </c>
      <c r="L46" s="13" t="str">
        <f aca="false">IF(B46=1,"Yes","No")</f>
        <v>No</v>
      </c>
      <c r="M46" s="13" t="n">
        <f aca="false">SUM(C46:J46)</f>
        <v>1</v>
      </c>
    </row>
    <row r="47" customFormat="false" ht="15" hidden="false" customHeight="false" outlineLevel="0" collapsed="false">
      <c r="A47" s="12" t="s">
        <v>81</v>
      </c>
      <c r="B47" s="13" t="n">
        <v>1</v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4" t="n">
        <f aca="false">SUM(B47:J47)</f>
        <v>1</v>
      </c>
      <c r="L47" s="13" t="str">
        <f aca="false">IF(B47=1,"Yes","No")</f>
        <v>Yes</v>
      </c>
      <c r="M47" s="13" t="n">
        <f aca="false">SUM(C47:J47)</f>
        <v>0</v>
      </c>
    </row>
    <row r="48" customFormat="false" ht="15" hidden="false" customHeight="false" outlineLevel="0" collapsed="false">
      <c r="A48" s="12" t="s">
        <v>82</v>
      </c>
      <c r="B48" s="13" t="n">
        <v>1</v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4" t="n">
        <f aca="false">SUM(B48:J48)</f>
        <v>1</v>
      </c>
      <c r="L48" s="13" t="str">
        <f aca="false">IF(B48=1,"Yes","No")</f>
        <v>Yes</v>
      </c>
      <c r="M48" s="13" t="n">
        <f aca="false">SUM(C48:J48)</f>
        <v>0</v>
      </c>
    </row>
    <row r="49" customFormat="false" ht="15" hidden="false" customHeight="false" outlineLevel="0" collapsed="false">
      <c r="A49" s="12" t="s">
        <v>83</v>
      </c>
      <c r="B49" s="13" t="n">
        <v>0</v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4" t="n">
        <f aca="false">SUM(B49:J49)</f>
        <v>0</v>
      </c>
      <c r="L49" s="13" t="str">
        <f aca="false">IF(B49=1,"Yes","No")</f>
        <v>No</v>
      </c>
      <c r="M49" s="13" t="n">
        <f aca="false">SUM(C49:J49)</f>
        <v>0</v>
      </c>
    </row>
    <row r="50" customFormat="false" ht="15" hidden="false" customHeight="false" outlineLevel="0" collapsed="false">
      <c r="A50" s="12" t="s">
        <v>84</v>
      </c>
      <c r="B50" s="13" t="n">
        <v>0</v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4" t="n">
        <f aca="false">SUM(B50:J50)</f>
        <v>0</v>
      </c>
      <c r="L50" s="13" t="str">
        <f aca="false">IF(B50=1,"Yes","No")</f>
        <v>No</v>
      </c>
      <c r="M50" s="13" t="n">
        <f aca="false">SUM(C50:J50)</f>
        <v>0</v>
      </c>
    </row>
    <row r="51" customFormat="false" ht="15" hidden="false" customHeight="false" outlineLevel="0" collapsed="false">
      <c r="A51" s="12" t="s">
        <v>85</v>
      </c>
      <c r="B51" s="13" t="n">
        <v>0</v>
      </c>
      <c r="C51" s="13" t="n">
        <v>1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4" t="n">
        <f aca="false">SUM(B51:J51)</f>
        <v>1</v>
      </c>
      <c r="L51" s="13" t="str">
        <f aca="false">IF(B51=1,"Yes","No")</f>
        <v>No</v>
      </c>
      <c r="M51" s="13" t="n">
        <f aca="false">SUM(C51:J51)</f>
        <v>1</v>
      </c>
    </row>
    <row r="52" customFormat="false" ht="15" hidden="false" customHeight="false" outlineLevel="0" collapsed="false">
      <c r="A52" s="12" t="s">
        <v>86</v>
      </c>
      <c r="B52" s="13" t="n">
        <v>0</v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1</v>
      </c>
      <c r="K52" s="14" t="n">
        <f aca="false">SUM(B52:J52)</f>
        <v>1</v>
      </c>
      <c r="L52" s="13" t="str">
        <f aca="false">IF(B52=1,"Yes","No")</f>
        <v>No</v>
      </c>
      <c r="M52" s="13" t="n">
        <f aca="false">SUM(C52:J52)</f>
        <v>1</v>
      </c>
    </row>
    <row r="53" customFormat="false" ht="15" hidden="false" customHeight="false" outlineLevel="0" collapsed="false">
      <c r="A53" s="12" t="s">
        <v>87</v>
      </c>
      <c r="B53" s="13" t="n">
        <v>0</v>
      </c>
      <c r="C53" s="13" t="n">
        <v>0</v>
      </c>
      <c r="D53" s="13" t="n">
        <v>0</v>
      </c>
      <c r="E53" s="13" t="n">
        <v>1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4" t="n">
        <f aca="false">SUM(B53:J53)</f>
        <v>1</v>
      </c>
      <c r="L53" s="13" t="str">
        <f aca="false">IF(B53=1,"Yes","No")</f>
        <v>No</v>
      </c>
      <c r="M53" s="13" t="n">
        <f aca="false">SUM(C53:J53)</f>
        <v>1</v>
      </c>
    </row>
    <row r="54" customFormat="false" ht="15" hidden="false" customHeight="false" outlineLevel="0" collapsed="false">
      <c r="A54" s="12" t="s">
        <v>88</v>
      </c>
      <c r="B54" s="13" t="n">
        <v>0</v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4" t="n">
        <f aca="false">SUM(B54:J54)</f>
        <v>0</v>
      </c>
      <c r="L54" s="13" t="str">
        <f aca="false">IF(B54=1,"Yes","No")</f>
        <v>No</v>
      </c>
      <c r="M54" s="13" t="n">
        <f aca="false">SUM(C54:J54)</f>
        <v>0</v>
      </c>
    </row>
    <row r="55" customFormat="false" ht="15" hidden="false" customHeight="false" outlineLevel="0" collapsed="false">
      <c r="A55" s="15" t="s">
        <v>89</v>
      </c>
      <c r="B55" s="16" t="n">
        <f aca="false">SUM(B5:B54)</f>
        <v>15</v>
      </c>
      <c r="C55" s="16" t="n">
        <f aca="false">SUM(C5:C54)</f>
        <v>4</v>
      </c>
      <c r="D55" s="16" t="n">
        <f aca="false">SUM(D5:D54)</f>
        <v>7</v>
      </c>
      <c r="E55" s="16" t="n">
        <f aca="false">SUM(E5:E54)</f>
        <v>3</v>
      </c>
      <c r="F55" s="16" t="n">
        <f aca="false">SUM(F5:F54)</f>
        <v>5</v>
      </c>
      <c r="G55" s="16" t="n">
        <f aca="false">SUM(G5:G54)</f>
        <v>2</v>
      </c>
      <c r="H55" s="16" t="n">
        <f aca="false">SUM(H5:H54)</f>
        <v>2</v>
      </c>
      <c r="I55" s="16" t="n">
        <f aca="false">SUM(I5:I54)</f>
        <v>3</v>
      </c>
      <c r="J55" s="16" t="n">
        <f aca="false">SUM(J5:J54)</f>
        <v>10</v>
      </c>
      <c r="K55" s="16" t="n">
        <f aca="false">SUM(K5:K54)</f>
        <v>51</v>
      </c>
      <c r="L55" s="16" t="n">
        <f aca="false">COUNTIF(L5:L54,"Yes")</f>
        <v>15</v>
      </c>
      <c r="M55" s="16" t="n">
        <f aca="false">SUM(M5:M54)</f>
        <v>36</v>
      </c>
    </row>
  </sheetData>
  <conditionalFormatting sqref="B5:J54">
    <cfRule type="cellIs" priority="2" operator="equal" aboveAverage="0" equalAverage="0" bottom="0" percent="0" rank="0" text="" dxfId="0">
      <formula>1</formula>
    </cfRule>
  </conditionalFormatting>
  <conditionalFormatting sqref="K5:K54">
    <cfRule type="colorScale" priority="3">
      <colorScale>
        <cfvo type="min" val="0"/>
        <cfvo type="percentile" val="50"/>
        <cfvo type="max" val="0"/>
        <color rgb="FFFFFFFF"/>
        <color rgb="FFFFD580"/>
        <color rgb="FFFF7F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6"/>
    <col collapsed="false" customWidth="true" hidden="false" outlineLevel="0" max="7" min="7" style="0" width="50"/>
  </cols>
  <sheetData>
    <row r="1" customFormat="false" ht="18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7" t="s">
        <v>91</v>
      </c>
      <c r="B2" s="17"/>
      <c r="C2" s="17"/>
      <c r="D2" s="17"/>
      <c r="E2" s="17"/>
      <c r="F2" s="17"/>
      <c r="G2" s="17"/>
    </row>
    <row r="4" customFormat="false" ht="15" hidden="false" customHeight="false" outlineLevel="0" collapsed="false">
      <c r="A4" s="18" t="s">
        <v>92</v>
      </c>
      <c r="B4" s="18" t="s">
        <v>93</v>
      </c>
      <c r="C4" s="18" t="s">
        <v>94</v>
      </c>
      <c r="D4" s="18" t="s">
        <v>95</v>
      </c>
      <c r="E4" s="18" t="s">
        <v>96</v>
      </c>
      <c r="F4" s="18" t="s">
        <v>97</v>
      </c>
      <c r="G4" s="18" t="s">
        <v>98</v>
      </c>
    </row>
    <row r="5" customFormat="false" ht="15" hidden="false" customHeight="false" outlineLevel="0" collapsed="false">
      <c r="A5" s="19" t="s">
        <v>99</v>
      </c>
      <c r="B5" s="20" t="s">
        <v>6</v>
      </c>
      <c r="C5" s="20" t="s">
        <v>100</v>
      </c>
      <c r="D5" s="19" t="s">
        <v>101</v>
      </c>
      <c r="E5" s="20" t="s">
        <v>102</v>
      </c>
      <c r="F5" s="20" t="s">
        <v>103</v>
      </c>
      <c r="G5" s="21" t="s">
        <v>104</v>
      </c>
    </row>
    <row r="6" customFormat="false" ht="15" hidden="false" customHeight="false" outlineLevel="0" collapsed="false">
      <c r="A6" s="19" t="s">
        <v>105</v>
      </c>
      <c r="B6" s="20" t="s">
        <v>6</v>
      </c>
      <c r="C6" s="20" t="s">
        <v>106</v>
      </c>
      <c r="D6" s="19" t="s">
        <v>101</v>
      </c>
      <c r="E6" s="20" t="s">
        <v>107</v>
      </c>
      <c r="F6" s="20" t="s">
        <v>108</v>
      </c>
      <c r="G6" s="21" t="s">
        <v>109</v>
      </c>
    </row>
    <row r="7" customFormat="false" ht="15" hidden="false" customHeight="false" outlineLevel="0" collapsed="false">
      <c r="A7" s="22" t="s">
        <v>110</v>
      </c>
      <c r="B7" s="23" t="s">
        <v>111</v>
      </c>
      <c r="C7" s="23" t="s">
        <v>112</v>
      </c>
      <c r="D7" s="22" t="s">
        <v>113</v>
      </c>
      <c r="E7" s="23" t="s">
        <v>114</v>
      </c>
      <c r="F7" s="23" t="s">
        <v>115</v>
      </c>
      <c r="G7" s="24" t="s">
        <v>116</v>
      </c>
    </row>
    <row r="8" customFormat="false" ht="15" hidden="false" customHeight="false" outlineLevel="0" collapsed="false">
      <c r="A8" s="19" t="s">
        <v>117</v>
      </c>
      <c r="B8" s="20" t="s">
        <v>6</v>
      </c>
      <c r="C8" s="20" t="s">
        <v>118</v>
      </c>
      <c r="D8" s="19" t="s">
        <v>101</v>
      </c>
      <c r="E8" s="20" t="s">
        <v>119</v>
      </c>
      <c r="F8" s="20" t="s">
        <v>120</v>
      </c>
      <c r="G8" s="21" t="s">
        <v>121</v>
      </c>
    </row>
    <row r="9" customFormat="false" ht="15" hidden="false" customHeight="false" outlineLevel="0" collapsed="false">
      <c r="A9" s="25" t="s">
        <v>122</v>
      </c>
      <c r="B9" s="26" t="s">
        <v>6</v>
      </c>
      <c r="C9" s="26" t="s">
        <v>123</v>
      </c>
      <c r="D9" s="25" t="s">
        <v>124</v>
      </c>
      <c r="E9" s="26" t="s">
        <v>125</v>
      </c>
      <c r="F9" s="26" t="s">
        <v>126</v>
      </c>
      <c r="G9" s="27" t="s">
        <v>127</v>
      </c>
    </row>
    <row r="10" customFormat="false" ht="15" hidden="false" customHeight="false" outlineLevel="0" collapsed="false">
      <c r="A10" s="19" t="s">
        <v>128</v>
      </c>
      <c r="B10" s="20" t="s">
        <v>6</v>
      </c>
      <c r="C10" s="20" t="s">
        <v>129</v>
      </c>
      <c r="D10" s="19" t="s">
        <v>130</v>
      </c>
      <c r="E10" s="20" t="s">
        <v>107</v>
      </c>
      <c r="F10" s="20" t="s">
        <v>131</v>
      </c>
      <c r="G10" s="21" t="s">
        <v>132</v>
      </c>
    </row>
    <row r="11" customFormat="false" ht="15" hidden="false" customHeight="false" outlineLevel="0" collapsed="false">
      <c r="A11" s="22" t="s">
        <v>133</v>
      </c>
      <c r="B11" s="23" t="s">
        <v>134</v>
      </c>
      <c r="C11" s="23" t="s">
        <v>135</v>
      </c>
      <c r="D11" s="22" t="s">
        <v>113</v>
      </c>
      <c r="E11" s="23" t="s">
        <v>114</v>
      </c>
      <c r="F11" s="23" t="s">
        <v>136</v>
      </c>
      <c r="G11" s="24" t="s">
        <v>137</v>
      </c>
    </row>
    <row r="12" customFormat="false" ht="15" hidden="false" customHeight="false" outlineLevel="0" collapsed="false">
      <c r="A12" s="19" t="s">
        <v>138</v>
      </c>
      <c r="B12" s="20" t="s">
        <v>12</v>
      </c>
      <c r="C12" s="20" t="s">
        <v>139</v>
      </c>
      <c r="D12" s="19" t="s">
        <v>101</v>
      </c>
      <c r="E12" s="20" t="s">
        <v>140</v>
      </c>
      <c r="F12" s="20" t="s">
        <v>141</v>
      </c>
      <c r="G12" s="21" t="s">
        <v>142</v>
      </c>
    </row>
    <row r="13" customFormat="false" ht="15" hidden="false" customHeight="false" outlineLevel="0" collapsed="false">
      <c r="A13" s="19" t="s">
        <v>143</v>
      </c>
      <c r="B13" s="20" t="s">
        <v>6</v>
      </c>
      <c r="C13" s="20" t="s">
        <v>144</v>
      </c>
      <c r="D13" s="19" t="s">
        <v>101</v>
      </c>
      <c r="E13" s="20" t="s">
        <v>145</v>
      </c>
      <c r="F13" s="20" t="s">
        <v>146</v>
      </c>
      <c r="G13" s="21" t="s">
        <v>147</v>
      </c>
    </row>
    <row r="14" customFormat="false" ht="15" hidden="false" customHeight="false" outlineLevel="0" collapsed="false">
      <c r="A14" s="19" t="s">
        <v>148</v>
      </c>
      <c r="B14" s="20" t="s">
        <v>149</v>
      </c>
      <c r="C14" s="20" t="s">
        <v>150</v>
      </c>
      <c r="D14" s="19" t="s">
        <v>101</v>
      </c>
      <c r="E14" s="20" t="s">
        <v>151</v>
      </c>
      <c r="F14" s="20" t="s">
        <v>152</v>
      </c>
      <c r="G14" s="21" t="s">
        <v>153</v>
      </c>
    </row>
    <row r="15" customFormat="false" ht="15" hidden="false" customHeight="false" outlineLevel="0" collapsed="false">
      <c r="A15" s="19" t="s">
        <v>148</v>
      </c>
      <c r="B15" s="20" t="s">
        <v>6</v>
      </c>
      <c r="C15" s="20" t="s">
        <v>154</v>
      </c>
      <c r="D15" s="19" t="s">
        <v>155</v>
      </c>
      <c r="E15" s="20" t="s">
        <v>156</v>
      </c>
      <c r="F15" s="20" t="s">
        <v>157</v>
      </c>
      <c r="G15" s="21" t="s">
        <v>158</v>
      </c>
    </row>
    <row r="16" customFormat="false" ht="15" hidden="false" customHeight="false" outlineLevel="0" collapsed="false">
      <c r="A16" s="28" t="s">
        <v>148</v>
      </c>
      <c r="B16" s="29" t="s">
        <v>6</v>
      </c>
      <c r="C16" s="29" t="s">
        <v>159</v>
      </c>
      <c r="D16" s="28" t="s">
        <v>160</v>
      </c>
      <c r="E16" s="29" t="s">
        <v>114</v>
      </c>
      <c r="F16" s="29" t="s">
        <v>161</v>
      </c>
      <c r="G16" s="30" t="s">
        <v>162</v>
      </c>
    </row>
    <row r="17" customFormat="false" ht="15" hidden="false" customHeight="false" outlineLevel="0" collapsed="false">
      <c r="A17" s="28" t="s">
        <v>163</v>
      </c>
      <c r="B17" s="29" t="s">
        <v>6</v>
      </c>
      <c r="C17" s="29" t="s">
        <v>164</v>
      </c>
      <c r="D17" s="28" t="s">
        <v>165</v>
      </c>
      <c r="E17" s="29" t="s">
        <v>166</v>
      </c>
      <c r="F17" s="29" t="s">
        <v>167</v>
      </c>
      <c r="G17" s="30" t="s">
        <v>168</v>
      </c>
    </row>
    <row r="18" customFormat="false" ht="15" hidden="false" customHeight="false" outlineLevel="0" collapsed="false">
      <c r="A18" s="22" t="s">
        <v>169</v>
      </c>
      <c r="B18" s="23" t="s">
        <v>170</v>
      </c>
      <c r="C18" s="23" t="s">
        <v>171</v>
      </c>
      <c r="D18" s="22" t="s">
        <v>113</v>
      </c>
      <c r="E18" s="23" t="s">
        <v>114</v>
      </c>
      <c r="F18" s="23" t="s">
        <v>172</v>
      </c>
      <c r="G18" s="24" t="s">
        <v>173</v>
      </c>
    </row>
    <row r="19" customFormat="false" ht="15" hidden="false" customHeight="false" outlineLevel="0" collapsed="false">
      <c r="A19" s="19" t="s">
        <v>169</v>
      </c>
      <c r="B19" s="20" t="s">
        <v>32</v>
      </c>
      <c r="C19" s="20" t="s">
        <v>174</v>
      </c>
      <c r="D19" s="19" t="s">
        <v>175</v>
      </c>
      <c r="E19" s="20" t="s">
        <v>176</v>
      </c>
      <c r="F19" s="20" t="s">
        <v>177</v>
      </c>
      <c r="G19" s="21" t="s">
        <v>178</v>
      </c>
    </row>
    <row r="20" customFormat="false" ht="15" hidden="false" customHeight="false" outlineLevel="0" collapsed="false">
      <c r="A20" s="19" t="s">
        <v>179</v>
      </c>
      <c r="B20" s="20" t="s">
        <v>6</v>
      </c>
      <c r="C20" s="20" t="s">
        <v>180</v>
      </c>
      <c r="D20" s="19" t="s">
        <v>101</v>
      </c>
      <c r="E20" s="20" t="s">
        <v>156</v>
      </c>
      <c r="F20" s="20" t="s">
        <v>181</v>
      </c>
      <c r="G20" s="21" t="s">
        <v>182</v>
      </c>
    </row>
    <row r="21" customFormat="false" ht="15" hidden="false" customHeight="false" outlineLevel="0" collapsed="false">
      <c r="A21" s="22" t="s">
        <v>183</v>
      </c>
      <c r="B21" s="23" t="s">
        <v>12</v>
      </c>
      <c r="C21" s="23" t="s">
        <v>184</v>
      </c>
      <c r="D21" s="22" t="s">
        <v>113</v>
      </c>
      <c r="E21" s="23" t="s">
        <v>114</v>
      </c>
      <c r="F21" s="23" t="s">
        <v>185</v>
      </c>
      <c r="G21" s="24" t="s">
        <v>186</v>
      </c>
    </row>
    <row r="22" customFormat="false" ht="15" hidden="false" customHeight="false" outlineLevel="0" collapsed="false">
      <c r="A22" s="19" t="s">
        <v>187</v>
      </c>
      <c r="B22" s="20" t="s">
        <v>188</v>
      </c>
      <c r="C22" s="20" t="s">
        <v>170</v>
      </c>
      <c r="D22" s="19" t="s">
        <v>101</v>
      </c>
      <c r="E22" s="20" t="s">
        <v>107</v>
      </c>
      <c r="F22" s="20" t="s">
        <v>189</v>
      </c>
      <c r="G22" s="21" t="s">
        <v>190</v>
      </c>
    </row>
    <row r="23" customFormat="false" ht="15" hidden="false" customHeight="false" outlineLevel="0" collapsed="false">
      <c r="A23" s="19" t="s">
        <v>191</v>
      </c>
      <c r="B23" s="20" t="s">
        <v>6</v>
      </c>
      <c r="C23" s="20" t="s">
        <v>192</v>
      </c>
      <c r="D23" s="19" t="s">
        <v>101</v>
      </c>
      <c r="E23" s="20" t="s">
        <v>193</v>
      </c>
      <c r="F23" s="20" t="s">
        <v>194</v>
      </c>
      <c r="G23" s="21" t="s">
        <v>195</v>
      </c>
    </row>
    <row r="24" customFormat="false" ht="15" hidden="false" customHeight="false" outlineLevel="0" collapsed="false">
      <c r="A24" s="22" t="s">
        <v>191</v>
      </c>
      <c r="B24" s="23" t="s">
        <v>196</v>
      </c>
      <c r="C24" s="23" t="s">
        <v>197</v>
      </c>
      <c r="D24" s="22" t="s">
        <v>198</v>
      </c>
      <c r="E24" s="23" t="s">
        <v>114</v>
      </c>
      <c r="F24" s="23" t="s">
        <v>199</v>
      </c>
      <c r="G24" s="24" t="s">
        <v>200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22" activeCellId="0" sqref="A2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4" min="3" style="0" width="32"/>
    <col collapsed="false" customWidth="true" hidden="false" outlineLevel="0" max="5" min="5" style="0" width="56"/>
  </cols>
  <sheetData>
    <row r="1" customFormat="false" ht="17.25" hidden="false" customHeight="true" outlineLevel="0" collapsed="false">
      <c r="A1" s="1" t="s">
        <v>201</v>
      </c>
      <c r="B1" s="1"/>
      <c r="C1" s="1"/>
      <c r="D1" s="1"/>
      <c r="E1" s="1"/>
    </row>
    <row r="2" customFormat="false" ht="15" hidden="false" customHeight="true" outlineLevel="0" collapsed="false">
      <c r="A2" s="17" t="s">
        <v>202</v>
      </c>
      <c r="B2" s="17"/>
      <c r="C2" s="17"/>
      <c r="D2" s="17"/>
      <c r="E2" s="17"/>
    </row>
    <row r="4" customFormat="false" ht="15" hidden="false" customHeight="true" outlineLevel="0" collapsed="false">
      <c r="A4" s="18" t="s">
        <v>203</v>
      </c>
      <c r="B4" s="18" t="s">
        <v>204</v>
      </c>
      <c r="C4" s="18" t="s">
        <v>205</v>
      </c>
      <c r="D4" s="18" t="s">
        <v>4</v>
      </c>
      <c r="E4" s="18" t="s">
        <v>206</v>
      </c>
    </row>
    <row r="5" customFormat="false" ht="15" hidden="false" customHeight="true" outlineLevel="0" collapsed="false">
      <c r="A5" s="4" t="s">
        <v>207</v>
      </c>
      <c r="B5" s="3" t="n">
        <v>49</v>
      </c>
      <c r="C5" s="4" t="s">
        <v>208</v>
      </c>
      <c r="D5" s="4" t="s">
        <v>7</v>
      </c>
      <c r="E5" s="31" t="s">
        <v>209</v>
      </c>
    </row>
    <row r="6" customFormat="false" ht="15" hidden="false" customHeight="true" outlineLevel="0" collapsed="false">
      <c r="A6" s="4" t="s">
        <v>210</v>
      </c>
      <c r="B6" s="3" t="n">
        <v>37</v>
      </c>
      <c r="C6" s="4" t="s">
        <v>211</v>
      </c>
      <c r="D6" s="4" t="s">
        <v>212</v>
      </c>
      <c r="E6" s="31" t="s">
        <v>213</v>
      </c>
    </row>
    <row r="7" customFormat="false" ht="15" hidden="false" customHeight="true" outlineLevel="0" collapsed="false">
      <c r="A7" s="4" t="s">
        <v>214</v>
      </c>
      <c r="B7" s="3" t="n">
        <v>50</v>
      </c>
      <c r="C7" s="4" t="s">
        <v>215</v>
      </c>
      <c r="D7" s="4" t="s">
        <v>216</v>
      </c>
      <c r="E7" s="31" t="s">
        <v>217</v>
      </c>
    </row>
    <row r="8" customFormat="false" ht="15" hidden="false" customHeight="true" outlineLevel="0" collapsed="false">
      <c r="A8" s="4" t="s">
        <v>218</v>
      </c>
      <c r="B8" s="3" t="n">
        <v>30</v>
      </c>
      <c r="C8" s="4" t="s">
        <v>219</v>
      </c>
      <c r="D8" s="4" t="s">
        <v>220</v>
      </c>
      <c r="E8" s="31" t="s">
        <v>221</v>
      </c>
    </row>
    <row r="9" customFormat="false" ht="15" hidden="false" customHeight="true" outlineLevel="0" collapsed="false">
      <c r="A9" s="4" t="s">
        <v>222</v>
      </c>
      <c r="B9" s="3" t="n">
        <v>2</v>
      </c>
      <c r="C9" s="4" t="s">
        <v>223</v>
      </c>
      <c r="D9" s="4" t="s">
        <v>224</v>
      </c>
      <c r="E9" s="31" t="s">
        <v>225</v>
      </c>
    </row>
    <row r="10" customFormat="false" ht="15" hidden="false" customHeight="true" outlineLevel="0" collapsed="false">
      <c r="A10" s="4" t="s">
        <v>226</v>
      </c>
      <c r="B10" s="3" t="n">
        <v>2</v>
      </c>
      <c r="C10" s="4" t="s">
        <v>227</v>
      </c>
      <c r="D10" s="4" t="s">
        <v>228</v>
      </c>
      <c r="E10" s="31" t="s">
        <v>229</v>
      </c>
    </row>
    <row r="11" customFormat="false" ht="15" hidden="false" customHeight="true" outlineLevel="0" collapsed="false">
      <c r="A11" s="4" t="s">
        <v>230</v>
      </c>
      <c r="B11" s="3" t="n">
        <v>5</v>
      </c>
      <c r="C11" s="4" t="s">
        <v>231</v>
      </c>
      <c r="D11" s="4" t="s">
        <v>232</v>
      </c>
      <c r="E11" s="31" t="s">
        <v>233</v>
      </c>
    </row>
    <row r="12" customFormat="false" ht="15" hidden="false" customHeight="true" outlineLevel="0" collapsed="false">
      <c r="A12" s="32" t="s">
        <v>234</v>
      </c>
      <c r="B12" s="33" t="n">
        <f aca="false">SUM(B5:B11)</f>
        <v>175</v>
      </c>
      <c r="C12" s="34" t="s">
        <v>235</v>
      </c>
      <c r="D12" s="6"/>
      <c r="E12" s="6"/>
    </row>
    <row r="14" customFormat="false" ht="15" hidden="false" customHeight="true" outlineLevel="0" collapsed="false">
      <c r="A14" s="35" t="s">
        <v>236</v>
      </c>
      <c r="B14" s="36" t="n">
        <v>33.2</v>
      </c>
      <c r="C14" s="37" t="s">
        <v>237</v>
      </c>
    </row>
    <row r="15" customFormat="false" ht="15" hidden="false" customHeight="true" outlineLevel="0" collapsed="false">
      <c r="A15" s="35" t="s">
        <v>238</v>
      </c>
      <c r="B15" s="36" t="n">
        <v>48.3</v>
      </c>
    </row>
    <row r="16" customFormat="false" ht="15" hidden="false" customHeight="true" outlineLevel="0" collapsed="false">
      <c r="A16" s="35" t="s">
        <v>239</v>
      </c>
      <c r="B16" s="36" t="n">
        <v>11.5</v>
      </c>
    </row>
    <row r="17" customFormat="false" ht="15" hidden="false" customHeight="true" outlineLevel="0" collapsed="false">
      <c r="A17" s="38" t="s">
        <v>240</v>
      </c>
      <c r="B17" s="39" t="n">
        <f aca="false">B15+B16</f>
        <v>59.8</v>
      </c>
    </row>
    <row r="18" customFormat="false" ht="15" hidden="false" customHeight="true" outlineLevel="0" collapsed="false">
      <c r="A18" s="35" t="s">
        <v>241</v>
      </c>
      <c r="B18" s="40" t="n">
        <v>20</v>
      </c>
      <c r="C18" s="37" t="s">
        <v>242</v>
      </c>
    </row>
    <row r="21" customFormat="false" ht="15" hidden="false" customHeight="true" outlineLevel="0" collapsed="false">
      <c r="A21" s="41" t="s">
        <v>243</v>
      </c>
    </row>
    <row r="22" customFormat="false" ht="15" hidden="false" customHeight="true" outlineLevel="0" collapsed="false">
      <c r="A22" s="18" t="s">
        <v>92</v>
      </c>
      <c r="B22" s="18" t="s">
        <v>244</v>
      </c>
      <c r="C22" s="18" t="s">
        <v>245</v>
      </c>
      <c r="D22" s="18" t="s">
        <v>246</v>
      </c>
      <c r="E22" s="18" t="s">
        <v>97</v>
      </c>
    </row>
    <row r="23" customFormat="false" ht="15" hidden="false" customHeight="true" outlineLevel="0" collapsed="false">
      <c r="A23" s="4" t="s">
        <v>247</v>
      </c>
      <c r="B23" s="4" t="s">
        <v>101</v>
      </c>
      <c r="C23" s="4" t="s">
        <v>248</v>
      </c>
      <c r="D23" s="4" t="s">
        <v>249</v>
      </c>
      <c r="E23" s="4" t="s">
        <v>250</v>
      </c>
    </row>
    <row r="24" customFormat="false" ht="15" hidden="false" customHeight="true" outlineLevel="0" collapsed="false">
      <c r="A24" s="4" t="s">
        <v>251</v>
      </c>
      <c r="B24" s="4" t="s">
        <v>101</v>
      </c>
      <c r="C24" s="4" t="s">
        <v>252</v>
      </c>
      <c r="D24" s="4" t="s">
        <v>107</v>
      </c>
      <c r="E24" s="4" t="s">
        <v>253</v>
      </c>
    </row>
    <row r="25" customFormat="false" ht="15" hidden="false" customHeight="true" outlineLevel="0" collapsed="false">
      <c r="A25" s="4" t="s">
        <v>117</v>
      </c>
      <c r="B25" s="4" t="s">
        <v>101</v>
      </c>
      <c r="C25" s="4" t="s">
        <v>254</v>
      </c>
      <c r="D25" s="4" t="s">
        <v>119</v>
      </c>
      <c r="E25" s="4" t="s">
        <v>255</v>
      </c>
    </row>
    <row r="26" customFormat="false" ht="15" hidden="false" customHeight="true" outlineLevel="0" collapsed="false">
      <c r="A26" s="4" t="s">
        <v>122</v>
      </c>
      <c r="B26" s="4" t="s">
        <v>124</v>
      </c>
      <c r="C26" s="4" t="s">
        <v>123</v>
      </c>
      <c r="D26" s="4" t="s">
        <v>125</v>
      </c>
      <c r="E26" s="4" t="s">
        <v>256</v>
      </c>
    </row>
    <row r="27" customFormat="false" ht="15" hidden="false" customHeight="true" outlineLevel="0" collapsed="false">
      <c r="A27" s="4" t="s">
        <v>128</v>
      </c>
      <c r="B27" s="4" t="s">
        <v>257</v>
      </c>
      <c r="C27" s="4" t="s">
        <v>258</v>
      </c>
      <c r="D27" s="4" t="s">
        <v>107</v>
      </c>
      <c r="E27" s="4" t="s">
        <v>259</v>
      </c>
    </row>
    <row r="28" customFormat="false" ht="15" hidden="false" customHeight="true" outlineLevel="0" collapsed="false">
      <c r="A28" s="4" t="s">
        <v>143</v>
      </c>
      <c r="B28" s="4" t="s">
        <v>101</v>
      </c>
      <c r="C28" s="4" t="s">
        <v>260</v>
      </c>
      <c r="D28" s="4" t="s">
        <v>145</v>
      </c>
      <c r="E28" s="4" t="s">
        <v>261</v>
      </c>
    </row>
    <row r="29" customFormat="false" ht="15" hidden="false" customHeight="true" outlineLevel="0" collapsed="false">
      <c r="A29" s="4" t="s">
        <v>163</v>
      </c>
      <c r="B29" s="4" t="s">
        <v>165</v>
      </c>
      <c r="C29" s="4" t="s">
        <v>262</v>
      </c>
      <c r="D29" s="4" t="s">
        <v>263</v>
      </c>
      <c r="E29" s="4" t="s">
        <v>264</v>
      </c>
    </row>
    <row r="30" customFormat="false" ht="15" hidden="false" customHeight="true" outlineLevel="0" collapsed="false">
      <c r="A30" s="4" t="s">
        <v>163</v>
      </c>
      <c r="B30" s="4" t="s">
        <v>265</v>
      </c>
      <c r="C30" s="4" t="s">
        <v>266</v>
      </c>
      <c r="D30" s="4" t="s">
        <v>267</v>
      </c>
      <c r="E30" s="4" t="s">
        <v>268</v>
      </c>
    </row>
    <row r="31" customFormat="false" ht="15" hidden="false" customHeight="true" outlineLevel="0" collapsed="false">
      <c r="A31" s="4" t="s">
        <v>179</v>
      </c>
      <c r="B31" s="4" t="s">
        <v>101</v>
      </c>
      <c r="C31" s="4" t="s">
        <v>269</v>
      </c>
      <c r="D31" s="4" t="s">
        <v>270</v>
      </c>
      <c r="E31" s="4" t="s">
        <v>271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7.25" hidden="false" customHeight="true" outlineLevel="0" collapsed="false">
      <c r="A1" s="1" t="s">
        <v>272</v>
      </c>
      <c r="B1" s="1"/>
      <c r="C1" s="1"/>
      <c r="D1" s="1"/>
      <c r="E1" s="1"/>
    </row>
    <row r="2" customFormat="false" ht="15" hidden="false" customHeight="true" outlineLevel="0" collapsed="false">
      <c r="A2" s="17" t="s">
        <v>273</v>
      </c>
      <c r="B2" s="17"/>
      <c r="C2" s="17"/>
      <c r="D2" s="17"/>
      <c r="E2" s="17"/>
    </row>
    <row r="4" customFormat="false" ht="15" hidden="false" customHeight="true" outlineLevel="0" collapsed="false">
      <c r="A4" s="18" t="s">
        <v>274</v>
      </c>
      <c r="B4" s="18" t="s">
        <v>275</v>
      </c>
      <c r="C4" s="18" t="s">
        <v>276</v>
      </c>
      <c r="D4" s="18" t="s">
        <v>277</v>
      </c>
      <c r="E4" s="18" t="s">
        <v>206</v>
      </c>
    </row>
    <row r="5" customFormat="false" ht="15" hidden="false" customHeight="true" outlineLevel="0" collapsed="false">
      <c r="A5" s="4" t="s">
        <v>278</v>
      </c>
      <c r="B5" s="42" t="n">
        <v>4261.9</v>
      </c>
      <c r="C5" s="42" t="n">
        <v>2326.4</v>
      </c>
      <c r="D5" s="42" t="n">
        <v>3146.2</v>
      </c>
      <c r="E5" s="31" t="s">
        <v>279</v>
      </c>
    </row>
    <row r="6" customFormat="false" ht="15" hidden="false" customHeight="true" outlineLevel="0" collapsed="false">
      <c r="A6" s="4" t="s">
        <v>280</v>
      </c>
      <c r="B6" s="42" t="n">
        <v>1850.9</v>
      </c>
      <c r="C6" s="42" t="n">
        <v>541.6</v>
      </c>
      <c r="D6" s="42" t="n">
        <v>1196.5</v>
      </c>
      <c r="E6" s="31" t="s">
        <v>281</v>
      </c>
    </row>
    <row r="7" customFormat="false" ht="15" hidden="false" customHeight="true" outlineLevel="0" collapsed="false">
      <c r="A7" s="4" t="s">
        <v>282</v>
      </c>
      <c r="B7" s="42" t="n">
        <v>1536.5</v>
      </c>
      <c r="C7" s="42" t="n">
        <v>312.5</v>
      </c>
      <c r="D7" s="42" t="n">
        <v>967.7</v>
      </c>
      <c r="E7" s="31"/>
    </row>
    <row r="8" customFormat="false" ht="15" hidden="false" customHeight="true" outlineLevel="0" collapsed="false">
      <c r="A8" s="4" t="s">
        <v>283</v>
      </c>
      <c r="B8" s="42" t="n">
        <v>1220</v>
      </c>
      <c r="C8" s="42" t="n">
        <v>277.9</v>
      </c>
      <c r="D8" s="42" t="n">
        <v>758</v>
      </c>
      <c r="E8" s="31"/>
    </row>
    <row r="9" customFormat="false" ht="15" hidden="false" customHeight="true" outlineLevel="0" collapsed="false">
      <c r="A9" s="4" t="s">
        <v>284</v>
      </c>
      <c r="B9" s="5" t="n">
        <v>25.04</v>
      </c>
      <c r="C9" s="5" t="n">
        <v>5.7</v>
      </c>
      <c r="D9" s="5" t="n">
        <v>15.58</v>
      </c>
      <c r="E9" s="31"/>
    </row>
    <row r="10" customFormat="false" ht="15" hidden="false" customHeight="true" outlineLevel="0" collapsed="false">
      <c r="A10" s="4" t="s">
        <v>285</v>
      </c>
      <c r="B10" s="5" t="n">
        <v>24.95</v>
      </c>
      <c r="C10" s="5" t="n">
        <v>5.69</v>
      </c>
      <c r="D10" s="5" t="n">
        <v>15.52</v>
      </c>
      <c r="E10" s="31"/>
    </row>
    <row r="11" customFormat="false" ht="15" hidden="false" customHeight="true" outlineLevel="0" collapsed="false">
      <c r="A11" s="4" t="s">
        <v>286</v>
      </c>
      <c r="B11" s="42" t="n">
        <v>1282.6</v>
      </c>
      <c r="C11" s="42" t="n">
        <v>1147.6</v>
      </c>
      <c r="D11" s="43"/>
      <c r="E11" s="31" t="s">
        <v>287</v>
      </c>
    </row>
    <row r="12" customFormat="false" ht="15" hidden="false" customHeight="true" outlineLevel="0" collapsed="false">
      <c r="A12" s="4" t="s">
        <v>288</v>
      </c>
      <c r="B12" s="42" t="n">
        <v>812.4</v>
      </c>
      <c r="C12" s="42" t="n">
        <v>746.7</v>
      </c>
      <c r="D12" s="43"/>
      <c r="E12" s="31"/>
    </row>
    <row r="13" customFormat="false" ht="15" hidden="false" customHeight="true" outlineLevel="0" collapsed="false">
      <c r="A13" s="4" t="s">
        <v>289</v>
      </c>
      <c r="B13" s="42" t="n">
        <v>470.2</v>
      </c>
      <c r="C13" s="42" t="n">
        <v>400.9</v>
      </c>
      <c r="D13" s="43"/>
      <c r="E13" s="31"/>
    </row>
    <row r="14" customFormat="false" ht="15" hidden="false" customHeight="true" outlineLevel="0" collapsed="false">
      <c r="A14" s="4" t="s">
        <v>290</v>
      </c>
      <c r="B14" s="44" t="n">
        <v>3.134</v>
      </c>
      <c r="C14" s="44" t="n">
        <v>1.932</v>
      </c>
      <c r="D14" s="44" t="n">
        <v>2.622</v>
      </c>
      <c r="E14" s="31" t="s">
        <v>291</v>
      </c>
    </row>
    <row r="15" customFormat="false" ht="15" hidden="false" customHeight="true" outlineLevel="0" collapsed="false">
      <c r="A15" s="4" t="s">
        <v>292</v>
      </c>
      <c r="B15" s="44" t="n">
        <v>3.49</v>
      </c>
      <c r="C15" s="44" t="n">
        <v>1.73</v>
      </c>
      <c r="D15" s="43"/>
      <c r="E15" s="31" t="s">
        <v>293</v>
      </c>
    </row>
    <row r="16" customFormat="false" ht="15" hidden="false" customHeight="true" outlineLevel="0" collapsed="false">
      <c r="A16" s="4" t="s">
        <v>294</v>
      </c>
      <c r="B16" s="44" t="n">
        <v>2.519</v>
      </c>
      <c r="C16" s="44" t="n">
        <v>2.309</v>
      </c>
      <c r="D16" s="43"/>
      <c r="E16" s="31" t="s">
        <v>295</v>
      </c>
    </row>
    <row r="17" customFormat="false" ht="15" hidden="false" customHeight="true" outlineLevel="0" collapsed="false">
      <c r="A17" s="4" t="s">
        <v>296</v>
      </c>
      <c r="B17" s="44" t="n">
        <v>0.49</v>
      </c>
      <c r="C17" s="44" t="n">
        <v>0.55</v>
      </c>
      <c r="D17" s="44" t="n">
        <v>0.676</v>
      </c>
      <c r="E17" s="31" t="s">
        <v>297</v>
      </c>
    </row>
    <row r="18" customFormat="false" ht="15" hidden="false" customHeight="true" outlineLevel="0" collapsed="false">
      <c r="A18" s="4" t="s">
        <v>298</v>
      </c>
      <c r="B18" s="44" t="n">
        <v>0.918</v>
      </c>
      <c r="C18" s="44" t="n">
        <v>0.983</v>
      </c>
      <c r="D18" s="43"/>
      <c r="E18" s="31"/>
    </row>
    <row r="19" customFormat="false" ht="15" hidden="false" customHeight="true" outlineLevel="0" collapsed="false">
      <c r="A19" s="4" t="s">
        <v>299</v>
      </c>
      <c r="B19" s="44" t="n">
        <v>4.474</v>
      </c>
      <c r="C19" s="44" t="n">
        <v>2.049</v>
      </c>
      <c r="D19" s="44" t="n">
        <v>3.115</v>
      </c>
      <c r="E19" s="31" t="s">
        <v>300</v>
      </c>
    </row>
    <row r="20" customFormat="false" ht="15" hidden="false" customHeight="true" outlineLevel="0" collapsed="false">
      <c r="A20" s="4" t="s">
        <v>301</v>
      </c>
      <c r="B20" s="42" t="n">
        <v>499.4</v>
      </c>
      <c r="C20" s="42" t="n">
        <v>237.9</v>
      </c>
      <c r="D20" s="43"/>
      <c r="E20" s="31"/>
    </row>
    <row r="21" customFormat="false" ht="15" hidden="false" customHeight="true" outlineLevel="0" collapsed="false">
      <c r="A21" s="4" t="s">
        <v>302</v>
      </c>
      <c r="B21" s="42" t="n">
        <v>892.7</v>
      </c>
      <c r="C21" s="42" t="n">
        <v>574.5</v>
      </c>
      <c r="D21" s="43"/>
      <c r="E21" s="31"/>
    </row>
    <row r="22" customFormat="false" ht="15" hidden="false" customHeight="true" outlineLevel="0" collapsed="false">
      <c r="A22" s="4" t="s">
        <v>303</v>
      </c>
      <c r="B22" s="42" t="n">
        <v>3084.6</v>
      </c>
      <c r="C22" s="42" t="n">
        <v>2184.8</v>
      </c>
      <c r="D22" s="43"/>
      <c r="E22" s="31"/>
    </row>
    <row r="23" customFormat="false" ht="15" hidden="false" customHeight="true" outlineLevel="0" collapsed="false">
      <c r="A23" s="4" t="s">
        <v>304</v>
      </c>
      <c r="B23" s="42" t="n">
        <v>2566</v>
      </c>
      <c r="C23" s="42" t="n">
        <v>1797</v>
      </c>
      <c r="D23" s="43"/>
      <c r="E23" s="31"/>
    </row>
    <row r="24" customFormat="false" ht="15" hidden="false" customHeight="true" outlineLevel="0" collapsed="false">
      <c r="A24" s="4" t="s">
        <v>305</v>
      </c>
      <c r="B24" s="42" t="n">
        <v>46.8</v>
      </c>
      <c r="C24" s="42" t="n">
        <v>45.8</v>
      </c>
      <c r="D24" s="43"/>
      <c r="E24" s="31" t="s">
        <v>306</v>
      </c>
    </row>
    <row r="25" customFormat="false" ht="15" hidden="false" customHeight="true" outlineLevel="0" collapsed="false">
      <c r="A25" s="4" t="s">
        <v>307</v>
      </c>
      <c r="B25" s="45" t="n">
        <v>48.3</v>
      </c>
      <c r="C25" s="45" t="n">
        <v>39.9</v>
      </c>
      <c r="D25" s="43"/>
      <c r="E25" s="31"/>
    </row>
    <row r="26" customFormat="false" ht="15" hidden="false" customHeight="true" outlineLevel="0" collapsed="false">
      <c r="A26" s="4" t="s">
        <v>308</v>
      </c>
      <c r="B26" s="45" t="n">
        <v>11.5</v>
      </c>
      <c r="C26" s="45" t="n">
        <v>11.8</v>
      </c>
      <c r="D26" s="43"/>
      <c r="E26" s="31"/>
    </row>
    <row r="27" customFormat="false" ht="15" hidden="false" customHeight="true" outlineLevel="0" collapsed="false">
      <c r="A27" s="4" t="s">
        <v>309</v>
      </c>
      <c r="B27" s="46" t="n">
        <v>0.225</v>
      </c>
      <c r="C27" s="43"/>
      <c r="D27" s="43"/>
      <c r="E27" s="31" t="s">
        <v>310</v>
      </c>
    </row>
    <row r="28" customFormat="false" ht="15" hidden="false" customHeight="true" outlineLevel="0" collapsed="false">
      <c r="A28" s="4" t="s">
        <v>311</v>
      </c>
      <c r="B28" s="46" t="n">
        <v>0.336</v>
      </c>
      <c r="C28" s="46" t="n">
        <v>0.34</v>
      </c>
      <c r="D28" s="46" t="n">
        <v>0.342</v>
      </c>
      <c r="E28" s="31" t="s">
        <v>312</v>
      </c>
    </row>
    <row r="29" customFormat="false" ht="15" hidden="false" customHeight="true" outlineLevel="0" collapsed="false">
      <c r="A29" s="4" t="s">
        <v>313</v>
      </c>
      <c r="B29" s="46" t="n">
        <v>0.492</v>
      </c>
      <c r="C29" s="46" t="n">
        <v>0.49</v>
      </c>
      <c r="D29" s="46" t="n">
        <v>0.501</v>
      </c>
      <c r="E29" s="31"/>
    </row>
    <row r="30" customFormat="false" ht="15" hidden="false" customHeight="true" outlineLevel="0" collapsed="false">
      <c r="A30" s="4" t="s">
        <v>314</v>
      </c>
      <c r="B30" s="42" t="n">
        <v>330.3</v>
      </c>
      <c r="C30" s="42" t="n">
        <v>91.9</v>
      </c>
      <c r="D30" s="42" t="n">
        <v>252.3</v>
      </c>
      <c r="E30" s="31" t="s">
        <v>315</v>
      </c>
    </row>
    <row r="31" customFormat="false" ht="15" hidden="false" customHeight="true" outlineLevel="0" collapsed="false">
      <c r="A31" s="4" t="s">
        <v>316</v>
      </c>
      <c r="B31" s="42" t="n">
        <v>54</v>
      </c>
      <c r="C31" s="42" t="n">
        <v>1.7</v>
      </c>
      <c r="D31" s="42" t="n">
        <v>1.6</v>
      </c>
      <c r="E31" s="31" t="s">
        <v>317</v>
      </c>
    </row>
    <row r="32" customFormat="false" ht="15" hidden="false" customHeight="true" outlineLevel="0" collapsed="false">
      <c r="A32" s="4" t="s">
        <v>318</v>
      </c>
      <c r="B32" s="46" t="n">
        <v>0.24</v>
      </c>
      <c r="C32" s="46" t="n">
        <v>0.232</v>
      </c>
      <c r="D32" s="43"/>
      <c r="E32" s="31"/>
    </row>
    <row r="33" customFormat="false" ht="15" hidden="false" customHeight="true" outlineLevel="0" collapsed="false">
      <c r="A33" s="4" t="s">
        <v>319</v>
      </c>
      <c r="B33" s="45" t="n">
        <v>48.5</v>
      </c>
      <c r="C33" s="45" t="n">
        <v>48.7</v>
      </c>
      <c r="D33" s="45" t="n">
        <v>48.6</v>
      </c>
      <c r="E33" s="31" t="s">
        <v>320</v>
      </c>
    </row>
    <row r="36" customFormat="false" ht="15" hidden="false" customHeight="true" outlineLevel="0" collapsed="false">
      <c r="A36" s="41" t="s">
        <v>321</v>
      </c>
    </row>
    <row r="37" customFormat="false" ht="15" hidden="false" customHeight="true" outlineLevel="0" collapsed="false">
      <c r="A37" s="35" t="s">
        <v>322</v>
      </c>
      <c r="B37" s="47" t="n">
        <f aca="false">B5/C5-1</f>
        <v>0.831972145804677</v>
      </c>
    </row>
    <row r="38" customFormat="false" ht="15" hidden="false" customHeight="true" outlineLevel="0" collapsed="false">
      <c r="A38" s="35" t="s">
        <v>323</v>
      </c>
      <c r="B38" s="47" t="n">
        <f aca="false">B8/C8-1</f>
        <v>3.39006836991724</v>
      </c>
    </row>
    <row r="39" customFormat="false" ht="15" hidden="false" customHeight="true" outlineLevel="0" collapsed="false">
      <c r="A39" s="35" t="s">
        <v>324</v>
      </c>
      <c r="B39" s="47" t="n">
        <f aca="false">B6/B5</f>
        <v>0.434289870714939</v>
      </c>
    </row>
    <row r="40" customFormat="false" ht="15" hidden="false" customHeight="true" outlineLevel="0" collapsed="false">
      <c r="A40" s="35" t="s">
        <v>325</v>
      </c>
      <c r="B40" s="47" t="n">
        <f aca="false">C6/C5</f>
        <v>0.232806052269601</v>
      </c>
    </row>
    <row r="41" customFormat="false" ht="15" hidden="false" customHeight="true" outlineLevel="0" collapsed="false">
      <c r="A41" s="35" t="s">
        <v>326</v>
      </c>
      <c r="B41" s="47" t="n">
        <f aca="false">B8/B5</f>
        <v>0.286257303080786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7.25" hidden="false" customHeight="true" outlineLevel="0" collapsed="false">
      <c r="A1" s="1" t="s">
        <v>327</v>
      </c>
      <c r="B1" s="1"/>
      <c r="C1" s="1"/>
      <c r="D1" s="1"/>
    </row>
    <row r="3" customFormat="false" ht="15" hidden="false" customHeight="true" outlineLevel="0" collapsed="false">
      <c r="A3" s="41" t="s">
        <v>328</v>
      </c>
    </row>
    <row r="4" customFormat="false" ht="15" hidden="false" customHeight="true" outlineLevel="0" collapsed="false">
      <c r="A4" s="18" t="s">
        <v>274</v>
      </c>
      <c r="B4" s="18" t="s">
        <v>96</v>
      </c>
      <c r="C4" s="18" t="s">
        <v>329</v>
      </c>
      <c r="D4" s="18" t="s">
        <v>330</v>
      </c>
    </row>
    <row r="5" customFormat="false" ht="15" hidden="false" customHeight="true" outlineLevel="0" collapsed="false">
      <c r="A5" s="4" t="s">
        <v>331</v>
      </c>
      <c r="B5" s="48" t="n">
        <v>285.5</v>
      </c>
      <c r="C5" s="4" t="s">
        <v>332</v>
      </c>
      <c r="D5" s="31" t="s">
        <v>333</v>
      </c>
    </row>
    <row r="6" customFormat="false" ht="15" hidden="false" customHeight="true" outlineLevel="0" collapsed="false">
      <c r="A6" s="4" t="s">
        <v>331</v>
      </c>
      <c r="B6" s="48" t="n">
        <v>304.3</v>
      </c>
      <c r="C6" s="4" t="s">
        <v>334</v>
      </c>
      <c r="D6" s="31" t="s">
        <v>335</v>
      </c>
    </row>
    <row r="7" customFormat="false" ht="15" hidden="false" customHeight="true" outlineLevel="0" collapsed="false">
      <c r="A7" s="4" t="s">
        <v>331</v>
      </c>
      <c r="B7" s="48" t="n">
        <v>321.6</v>
      </c>
      <c r="C7" s="4" t="s">
        <v>336</v>
      </c>
      <c r="D7" s="31" t="s">
        <v>335</v>
      </c>
    </row>
    <row r="8" customFormat="false" ht="15" hidden="false" customHeight="true" outlineLevel="0" collapsed="false">
      <c r="A8" s="4" t="s">
        <v>337</v>
      </c>
      <c r="B8" s="48" t="n">
        <v>313.1</v>
      </c>
      <c r="C8" s="4" t="s">
        <v>338</v>
      </c>
      <c r="D8" s="31" t="s">
        <v>335</v>
      </c>
    </row>
    <row r="9" customFormat="false" ht="15" hidden="false" customHeight="true" outlineLevel="0" collapsed="false">
      <c r="A9" s="4" t="s">
        <v>339</v>
      </c>
      <c r="B9" s="48" t="n">
        <v>129.2</v>
      </c>
      <c r="C9" s="4" t="s">
        <v>340</v>
      </c>
      <c r="D9" s="31" t="s">
        <v>341</v>
      </c>
    </row>
    <row r="10" customFormat="false" ht="15" hidden="false" customHeight="true" outlineLevel="0" collapsed="false">
      <c r="A10" s="4" t="s">
        <v>342</v>
      </c>
      <c r="B10" s="48" t="n">
        <v>221.4</v>
      </c>
      <c r="C10" s="4" t="s">
        <v>133</v>
      </c>
      <c r="D10" s="31" t="s">
        <v>343</v>
      </c>
    </row>
    <row r="11" customFormat="false" ht="15" hidden="false" customHeight="true" outlineLevel="0" collapsed="false">
      <c r="A11" s="4" t="s">
        <v>344</v>
      </c>
      <c r="B11" s="48" t="n">
        <v>40.2</v>
      </c>
      <c r="C11" s="4" t="s">
        <v>345</v>
      </c>
      <c r="D11" s="31" t="s">
        <v>335</v>
      </c>
    </row>
    <row r="12" customFormat="false" ht="15" hidden="false" customHeight="true" outlineLevel="0" collapsed="false">
      <c r="A12" s="4" t="s">
        <v>344</v>
      </c>
      <c r="B12" s="48" t="n">
        <v>39</v>
      </c>
      <c r="C12" s="4" t="s">
        <v>346</v>
      </c>
      <c r="D12" s="31" t="s">
        <v>347</v>
      </c>
    </row>
    <row r="13" customFormat="false" ht="15" hidden="false" customHeight="true" outlineLevel="0" collapsed="false">
      <c r="A13" s="4" t="s">
        <v>348</v>
      </c>
      <c r="B13" s="46" t="n">
        <v>0.54</v>
      </c>
      <c r="C13" s="4" t="s">
        <v>349</v>
      </c>
      <c r="D13" s="31" t="s">
        <v>350</v>
      </c>
    </row>
    <row r="14" customFormat="false" ht="15" hidden="false" customHeight="true" outlineLevel="0" collapsed="false">
      <c r="A14" s="4" t="s">
        <v>351</v>
      </c>
      <c r="B14" s="49" t="n">
        <v>271</v>
      </c>
      <c r="C14" s="4" t="s">
        <v>352</v>
      </c>
      <c r="D14" s="31" t="s">
        <v>353</v>
      </c>
    </row>
    <row r="15" customFormat="false" ht="15" hidden="false" customHeight="true" outlineLevel="0" collapsed="false">
      <c r="A15" s="4" t="s">
        <v>351</v>
      </c>
      <c r="B15" s="49" t="n">
        <v>288</v>
      </c>
      <c r="C15" s="4" t="s">
        <v>352</v>
      </c>
      <c r="D15" s="31" t="s">
        <v>354</v>
      </c>
    </row>
    <row r="16" customFormat="false" ht="15" hidden="false" customHeight="true" outlineLevel="0" collapsed="false">
      <c r="A16" s="4" t="s">
        <v>355</v>
      </c>
      <c r="B16" s="46" t="n">
        <v>0.24</v>
      </c>
      <c r="C16" s="4" t="s">
        <v>275</v>
      </c>
      <c r="D16" s="31" t="s">
        <v>356</v>
      </c>
    </row>
    <row r="17" customFormat="false" ht="15" hidden="false" customHeight="true" outlineLevel="0" collapsed="false">
      <c r="A17" s="4" t="s">
        <v>357</v>
      </c>
      <c r="B17" s="48" t="n">
        <v>3.134</v>
      </c>
      <c r="C17" s="4" t="s">
        <v>275</v>
      </c>
      <c r="D17" s="31" t="s">
        <v>358</v>
      </c>
    </row>
    <row r="18" customFormat="false" ht="15" hidden="false" customHeight="true" outlineLevel="0" collapsed="false">
      <c r="A18" s="4" t="s">
        <v>359</v>
      </c>
      <c r="B18" s="48" t="n">
        <v>1.283</v>
      </c>
      <c r="C18" s="4" t="s">
        <v>275</v>
      </c>
      <c r="D18" s="31" t="s">
        <v>360</v>
      </c>
    </row>
    <row r="19" customFormat="false" ht="15" hidden="false" customHeight="true" outlineLevel="0" collapsed="false">
      <c r="A19" s="4" t="s">
        <v>361</v>
      </c>
      <c r="B19" s="46" t="n">
        <v>0.225</v>
      </c>
      <c r="C19" s="4" t="s">
        <v>275</v>
      </c>
      <c r="D19" s="31"/>
    </row>
    <row r="20" customFormat="false" ht="15" hidden="false" customHeight="true" outlineLevel="0" collapsed="false">
      <c r="A20" s="4" t="s">
        <v>362</v>
      </c>
      <c r="B20" s="46" t="n">
        <v>0.336</v>
      </c>
      <c r="C20" s="4" t="s">
        <v>275</v>
      </c>
      <c r="D20" s="31" t="s">
        <v>363</v>
      </c>
    </row>
    <row r="21" customFormat="false" ht="15" hidden="false" customHeight="true" outlineLevel="0" collapsed="false">
      <c r="A21" s="4" t="s">
        <v>364</v>
      </c>
      <c r="B21" s="46" t="n">
        <v>0.492</v>
      </c>
      <c r="C21" s="4" t="s">
        <v>275</v>
      </c>
      <c r="D21" s="31"/>
    </row>
    <row r="22" customFormat="false" ht="15" hidden="false" customHeight="true" outlineLevel="0" collapsed="false">
      <c r="A22" s="4" t="s">
        <v>365</v>
      </c>
      <c r="B22" s="46" t="n">
        <v>0.76</v>
      </c>
      <c r="C22" s="4" t="s">
        <v>366</v>
      </c>
      <c r="D22" s="31" t="s">
        <v>367</v>
      </c>
    </row>
    <row r="23" customFormat="false" ht="15" hidden="false" customHeight="true" outlineLevel="0" collapsed="false">
      <c r="A23" s="4" t="s">
        <v>368</v>
      </c>
      <c r="B23" s="46" t="n">
        <v>0.534</v>
      </c>
      <c r="C23" s="4" t="s">
        <v>275</v>
      </c>
      <c r="D23" s="31" t="s">
        <v>369</v>
      </c>
    </row>
    <row r="24" customFormat="false" ht="15" hidden="false" customHeight="true" outlineLevel="0" collapsed="false">
      <c r="A24" s="4" t="s">
        <v>370</v>
      </c>
      <c r="B24" s="48" t="n">
        <v>4.38</v>
      </c>
      <c r="C24" s="4" t="s">
        <v>275</v>
      </c>
      <c r="D24" s="31" t="s">
        <v>371</v>
      </c>
    </row>
    <row r="25" customFormat="false" ht="15" hidden="false" customHeight="true" outlineLevel="0" collapsed="false">
      <c r="A25" s="4" t="s">
        <v>372</v>
      </c>
      <c r="B25" s="49" t="n">
        <v>311</v>
      </c>
      <c r="C25" s="4" t="s">
        <v>275</v>
      </c>
      <c r="D25" s="31" t="s">
        <v>373</v>
      </c>
    </row>
    <row r="27" customFormat="false" ht="15.75" hidden="false" customHeight="true" outlineLevel="0" collapsed="false">
      <c r="A27" s="50" t="n">
        <v>46082</v>
      </c>
    </row>
    <row r="28" customFormat="false" ht="15" hidden="false" customHeight="false" outlineLevel="0" collapsed="false">
      <c r="A28" s="18" t="s">
        <v>274</v>
      </c>
      <c r="B28" s="18" t="s">
        <v>96</v>
      </c>
      <c r="C28" s="18" t="s">
        <v>329</v>
      </c>
      <c r="D28" s="18" t="s">
        <v>330</v>
      </c>
    </row>
    <row r="29" customFormat="false" ht="15" hidden="false" customHeight="false" outlineLevel="0" collapsed="false">
      <c r="A29" s="4" t="s">
        <v>374</v>
      </c>
      <c r="B29" s="43" t="s">
        <v>375</v>
      </c>
      <c r="C29" s="4" t="s">
        <v>376</v>
      </c>
      <c r="D29" s="31" t="s">
        <v>377</v>
      </c>
    </row>
    <row r="30" customFormat="false" ht="15" hidden="false" customHeight="false" outlineLevel="0" collapsed="false">
      <c r="A30" s="4" t="s">
        <v>378</v>
      </c>
      <c r="B30" s="42" t="n">
        <v>36</v>
      </c>
      <c r="C30" s="4" t="s">
        <v>379</v>
      </c>
      <c r="D30" s="31" t="s">
        <v>380</v>
      </c>
    </row>
    <row r="31" customFormat="false" ht="15" hidden="false" customHeight="false" outlineLevel="0" collapsed="false">
      <c r="A31" s="4" t="s">
        <v>381</v>
      </c>
      <c r="B31" s="42" t="n">
        <v>51.7</v>
      </c>
      <c r="C31" s="4" t="s">
        <v>376</v>
      </c>
      <c r="D31" s="31" t="s">
        <v>382</v>
      </c>
    </row>
    <row r="32" customFormat="false" ht="15" hidden="false" customHeight="false" outlineLevel="0" collapsed="false">
      <c r="A32" s="4" t="s">
        <v>383</v>
      </c>
      <c r="B32" s="43" t="s">
        <v>384</v>
      </c>
      <c r="C32" s="4" t="s">
        <v>376</v>
      </c>
      <c r="D32" s="31" t="s">
        <v>385</v>
      </c>
    </row>
    <row r="33" customFormat="false" ht="15" hidden="false" customHeight="false" outlineLevel="0" collapsed="false">
      <c r="A33" s="4" t="s">
        <v>386</v>
      </c>
      <c r="B33" s="42" t="n">
        <v>1</v>
      </c>
      <c r="C33" s="4" t="s">
        <v>169</v>
      </c>
      <c r="D33" s="31" t="s">
        <v>387</v>
      </c>
    </row>
    <row r="34" customFormat="false" ht="15" hidden="false" customHeight="false" outlineLevel="0" collapsed="false">
      <c r="A34" s="4" t="s">
        <v>388</v>
      </c>
      <c r="B34" s="42" t="n">
        <v>1</v>
      </c>
      <c r="C34" s="4" t="s">
        <v>187</v>
      </c>
      <c r="D34" s="31" t="s">
        <v>389</v>
      </c>
    </row>
    <row r="35" customFormat="false" ht="15" hidden="false" customHeight="false" outlineLevel="0" collapsed="false">
      <c r="A35" s="4" t="s">
        <v>390</v>
      </c>
      <c r="B35" s="42" t="n">
        <v>7</v>
      </c>
      <c r="C35" s="4" t="s">
        <v>391</v>
      </c>
      <c r="D35" s="31" t="s">
        <v>392</v>
      </c>
    </row>
    <row r="36" customFormat="false" ht="15" hidden="false" customHeight="false" outlineLevel="0" collapsed="false">
      <c r="A36" s="4" t="s">
        <v>393</v>
      </c>
      <c r="B36" s="42" t="n">
        <v>26</v>
      </c>
      <c r="C36" s="4" t="s">
        <v>394</v>
      </c>
      <c r="D36" s="31" t="s">
        <v>395</v>
      </c>
    </row>
    <row r="37" customFormat="false" ht="15" hidden="false" customHeight="false" outlineLevel="0" collapsed="false">
      <c r="A37" s="4" t="s">
        <v>396</v>
      </c>
      <c r="B37" s="42" t="n">
        <v>129.2</v>
      </c>
      <c r="C37" s="4" t="s">
        <v>169</v>
      </c>
      <c r="D37" s="31" t="s">
        <v>341</v>
      </c>
    </row>
    <row r="38" customFormat="false" ht="15" hidden="false" customHeight="false" outlineLevel="0" collapsed="false">
      <c r="A38" s="4" t="s">
        <v>397</v>
      </c>
      <c r="B38" s="42" t="n">
        <v>51.7</v>
      </c>
      <c r="C38" s="4" t="s">
        <v>376</v>
      </c>
      <c r="D38" s="31" t="s">
        <v>382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2026-05-05T20:49:31Z</dcterms:created>
  <dc:creator>openpyxl</dc:creator>
  <dc:description/>
  <dc:language>en-US</dc:language>
  <cp:lastModifiedBy>Ishaan Sareen</cp:lastModifiedBy>
  <dcterms:modified xsi:type="dcterms:W3CDTF">2026-05-06T02:39:52Z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